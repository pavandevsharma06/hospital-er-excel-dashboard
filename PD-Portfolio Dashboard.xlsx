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van\OneDrive\Desktop\Data Analysis\Excel\"/>
    </mc:Choice>
  </mc:AlternateContent>
  <xr:revisionPtr revIDLastSave="0" documentId="13_ncr:1_{26CE4A97-0FDD-4AB3-8D2D-8D3942C053D0}" xr6:coauthVersionLast="47" xr6:coauthVersionMax="47" xr10:uidLastSave="{00000000-0000-0000-0000-000000000000}"/>
  <bookViews>
    <workbookView xWindow="-120" yWindow="-120" windowWidth="29040" windowHeight="15720" activeTab="1" xr2:uid="{53E52BE8-AE77-4F50-BFED-7612ACC1F1ED}"/>
  </bookViews>
  <sheets>
    <sheet name="Pivot Report" sheetId="1" r:id="rId1"/>
    <sheet name="Dashboard" sheetId="2" r:id="rId2"/>
    <sheet name="Daily ER Number Of Patients" sheetId="3" r:id="rId3"/>
    <sheet name="Average Wait Time Daily Trends" sheetId="4" r:id="rId4"/>
    <sheet name="Satisfaction Score Daily Trends" sheetId="5"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551dbd-f353-48fe-929e-4882813d049e" name="Hospital Emergency Room Data" connection="Query - Hospital Emergency Room Data"/>
          <x15:modelTable id="Calendar_Table_48d3faa7-8a14-4d8f-80ec-6b51cf669cf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3" i="1" l="1"/>
  <c r="C43" i="1"/>
  <c r="B42" i="1"/>
  <c r="C42" i="1"/>
  <c r="A42"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90D344-5B5D-40DF-A982-B51E7D262ECD}" name="Query - Calendar_Table" description="Connection to the 'Calendar_Table' query in the workbook." type="100" refreshedVersion="8" minRefreshableVersion="5">
    <extLst>
      <ext xmlns:x15="http://schemas.microsoft.com/office/spreadsheetml/2010/11/main" uri="{DE250136-89BD-433C-8126-D09CA5730AF9}">
        <x15:connection id="b31724a6-4918-4088-bf1e-1f7b0ce90bd8"/>
      </ext>
    </extLst>
  </connection>
  <connection id="2" xr16:uid="{66304A61-FFA6-4F51-A6CD-888EB1C82BC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69e0829-ab2d-42c4-adad-a727c799f253"/>
      </ext>
    </extLst>
  </connection>
  <connection id="3" xr16:uid="{0D97B1BA-B30E-4826-B926-9BF3708348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<sst xmlns="http://schemas.openxmlformats.org/spreadsheetml/2006/main" count="157" uniqueCount="76">
  <si>
    <t>Distinct Count of Patient Id</t>
  </si>
  <si>
    <t>Number Of Patient</t>
  </si>
  <si>
    <t>Average of Patient Satisfaction Score</t>
  </si>
  <si>
    <t>Row Labels</t>
  </si>
  <si>
    <t>Grand Total</t>
  </si>
  <si>
    <t>Daily Trends of No. of Patients</t>
  </si>
  <si>
    <t>Average Wait Time</t>
  </si>
  <si>
    <t>Average of Patient Wait time</t>
  </si>
  <si>
    <t>Avg of Patient Satisfaction Score</t>
  </si>
  <si>
    <t>Count of Patient Admission Flag</t>
  </si>
  <si>
    <t>Admitted</t>
  </si>
  <si>
    <t>Not Admitted</t>
  </si>
  <si>
    <t>Count of Patient Admission Flag2</t>
  </si>
  <si>
    <t>Admission Status</t>
  </si>
  <si>
    <t>% Status</t>
  </si>
  <si>
    <t>Count of Age Group</t>
  </si>
  <si>
    <t>0-9</t>
  </si>
  <si>
    <t>10-19</t>
  </si>
  <si>
    <t>20-29</t>
  </si>
  <si>
    <t>30-39</t>
  </si>
  <si>
    <t>40-49</t>
  </si>
  <si>
    <t>50-59</t>
  </si>
  <si>
    <t>60-69</t>
  </si>
  <si>
    <t>70-79</t>
  </si>
  <si>
    <t>Age Group Wise Analysis</t>
  </si>
  <si>
    <t>On Time</t>
  </si>
  <si>
    <t>Delay</t>
  </si>
  <si>
    <t>Count of Patient Attend Status</t>
  </si>
  <si>
    <t>Attended Status</t>
  </si>
  <si>
    <t>Female</t>
  </si>
  <si>
    <t>Male</t>
  </si>
  <si>
    <t>Count of Patient Gender</t>
  </si>
  <si>
    <t>Gender Analysis</t>
  </si>
  <si>
    <t>Cardiology</t>
  </si>
  <si>
    <t>Gastroenterology</t>
  </si>
  <si>
    <t>General Practice</t>
  </si>
  <si>
    <t>Neurology</t>
  </si>
  <si>
    <t>None</t>
  </si>
  <si>
    <t>Orthopedics</t>
  </si>
  <si>
    <t>Physiotherapy</t>
  </si>
  <si>
    <t>Renal</t>
  </si>
  <si>
    <t>Count of Department Referral</t>
  </si>
  <si>
    <t>Department Referral Analysis</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</si>
  <si>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</si>
  <si>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</si>
  <si>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</si>
  <si>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</si>
  <si>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</si>
  <si>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</si>
  <si>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</si>
  <si>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</si>
  <si>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</si>
  <si>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</si>
  <si>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</si>
  <si>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</si>
  <si>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</si>
  <si>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</si>
  <si>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</si>
  <si>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</si>
  <si>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</si>
  <si>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</si>
  <si>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</si>
  <si>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</si>
  <si>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</si>
  <si>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</si>
  <si>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</si>
  <si>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</si>
  <si>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</si>
  <si>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</si>
  <si>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</si>
  <si>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</si>
  <si>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</si>
  <si>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</si>
  <si>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</si>
  <si>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</si>
  <si>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No.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</si>
</sst>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4"/>
      <color theme="1"/>
      <name val="Aptos Narrow"/>
      <family val="2"/>
      <scheme val="minor"/>
    </font>
    <font>
      <sz val="14"/>
      <color theme="1"/>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bgColor indexed="64"/>
      </patternFill>
    </fill>
    <fill>
      <patternFill patternType="solid">
        <fgColor theme="3" tint="0.74999237037263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2" fillId="0" borderId="0" xfId="0" applyFont="1"/>
    <xf numFmtId="1" fontId="0" fillId="0" borderId="0" xfId="0" applyNumberFormat="1"/>
    <xf numFmtId="10" fontId="0" fillId="0" borderId="0" xfId="0" applyNumberFormat="1"/>
    <xf numFmtId="0" fontId="0" fillId="5" borderId="0" xfId="0" applyFill="1"/>
    <xf numFmtId="0" fontId="0" fillId="6" borderId="0" xfId="0" applyFill="1"/>
    <xf numFmtId="0" fontId="0" fillId="5" borderId="0" xfId="0" applyFill="1" applyAlignment="1">
      <alignment horizontal="center"/>
    </xf>
    <xf numFmtId="0" fontId="0" fillId="6" borderId="0" xfId="0" applyFill="1" applyAlignment="1">
      <alignment horizontal="center"/>
    </xf>
    <xf numFmtId="10" fontId="0" fillId="6" borderId="0" xfId="1" applyNumberFormat="1" applyFont="1" applyFill="1" applyAlignment="1">
      <alignment horizontal="center"/>
    </xf>
    <xf numFmtId="0" fontId="0" fillId="0" borderId="0" xfId="0" applyNumberFormat="1"/>
  </cellXfs>
  <cellStyles count="2">
    <cellStyle name="Normal" xfId="0" builtinId="0"/>
    <cellStyle name="Percent" xfId="1" builtinId="5"/>
  </cellStyles>
  <dxfs count="4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font>
        <b/>
        <color theme="1"/>
      </font>
      <border>
        <bottom style="thin">
          <color theme="4"/>
        </bottom>
        <vertical/>
        <horizontal/>
      </border>
    </dxf>
    <dxf>
      <font>
        <sz val="7"/>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FC39F174-678D-4AE8-9FA9-F2B94B46A833}">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2499465926084170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Report!PivotTable7</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12293144208037825"/>
          <c:y val="0.22222222222222221"/>
          <c:w val="0.79196217494089838"/>
          <c:h val="0.55555555555555558"/>
        </c:manualLayout>
      </c:layout>
      <c:barChart>
        <c:barDir val="bar"/>
        <c:grouping val="clustered"/>
        <c:varyColors val="0"/>
        <c:ser>
          <c:idx val="0"/>
          <c:order val="0"/>
          <c:tx>
            <c:strRef>
              <c:f>'Pivot Report'!$B$17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368-4035-9973-731E31713904}"/>
              </c:ext>
            </c:extLst>
          </c:dPt>
          <c:dPt>
            <c:idx val="1"/>
            <c:invertIfNegative val="0"/>
            <c:bubble3D val="0"/>
            <c:extLst>
              <c:ext xmlns:c16="http://schemas.microsoft.com/office/drawing/2014/chart" uri="{C3380CC4-5D6E-409C-BE32-E72D297353CC}">
                <c16:uniqueId val="{00000001-B368-4035-9973-731E31713904}"/>
              </c:ext>
            </c:extLst>
          </c:dPt>
          <c:cat>
            <c:strRef>
              <c:f>'Pivot Report'!$A$18:$A$20</c:f>
              <c:strCache>
                <c:ptCount val="2"/>
                <c:pt idx="0">
                  <c:v>Admitted</c:v>
                </c:pt>
                <c:pt idx="1">
                  <c:v>Not Admitted</c:v>
                </c:pt>
              </c:strCache>
            </c:strRef>
          </c:cat>
          <c:val>
            <c:numRef>
              <c:f>'Pivot Report'!$B$18:$B$20</c:f>
              <c:numCache>
                <c:formatCode>0</c:formatCode>
                <c:ptCount val="2"/>
                <c:pt idx="0">
                  <c:v>269</c:v>
                </c:pt>
                <c:pt idx="1">
                  <c:v>244</c:v>
                </c:pt>
              </c:numCache>
            </c:numRef>
          </c:val>
          <c:extLst>
            <c:ext xmlns:c16="http://schemas.microsoft.com/office/drawing/2014/chart" uri="{C3380CC4-5D6E-409C-BE32-E72D297353CC}">
              <c16:uniqueId val="{00000006-A7D9-4A66-A87B-85C8B4B310EA}"/>
            </c:ext>
          </c:extLst>
        </c:ser>
        <c:ser>
          <c:idx val="1"/>
          <c:order val="1"/>
          <c:tx>
            <c:strRef>
              <c:f>'Pivot Report'!$C$17</c:f>
              <c:strCache>
                <c:ptCount val="1"/>
                <c:pt idx="0">
                  <c:v>Count of Patient Admission Flag2</c:v>
                </c:pt>
              </c:strCache>
            </c:strRef>
          </c:tx>
          <c:spPr>
            <a:solidFill>
              <a:schemeClr val="accent2"/>
            </a:solidFill>
            <a:ln>
              <a:noFill/>
            </a:ln>
            <a:effectLst/>
          </c:spPr>
          <c:invertIfNegative val="0"/>
          <c:cat>
            <c:strRef>
              <c:f>'Pivot Report'!$A$18:$A$20</c:f>
              <c:strCache>
                <c:ptCount val="2"/>
                <c:pt idx="0">
                  <c:v>Admitted</c:v>
                </c:pt>
                <c:pt idx="1">
                  <c:v>Not Admitted</c:v>
                </c:pt>
              </c:strCache>
            </c:strRef>
          </c:cat>
          <c:val>
            <c:numRef>
              <c:f>'Pivot Report'!$C$18:$C$20</c:f>
              <c:numCache>
                <c:formatCode>0.00%</c:formatCode>
                <c:ptCount val="2"/>
                <c:pt idx="0">
                  <c:v>0.52436647173489281</c:v>
                </c:pt>
                <c:pt idx="1">
                  <c:v>0.47563352826510719</c:v>
                </c:pt>
              </c:numCache>
            </c:numRef>
          </c:val>
          <c:extLst>
            <c:ext xmlns:c16="http://schemas.microsoft.com/office/drawing/2014/chart" uri="{C3380CC4-5D6E-409C-BE32-E72D297353CC}">
              <c16:uniqueId val="{00000007-A7D9-4A66-A87B-85C8B4B310EA}"/>
            </c:ext>
          </c:extLst>
        </c:ser>
        <c:dLbls>
          <c:showLegendKey val="0"/>
          <c:showVal val="0"/>
          <c:showCatName val="0"/>
          <c:showSerName val="0"/>
          <c:showPercent val="0"/>
          <c:showBubbleSize val="0"/>
        </c:dLbls>
        <c:gapWidth val="0"/>
        <c:axId val="792105296"/>
        <c:axId val="792116336"/>
      </c:barChart>
      <c:catAx>
        <c:axId val="792105296"/>
        <c:scaling>
          <c:orientation val="minMax"/>
        </c:scaling>
        <c:delete val="1"/>
        <c:axPos val="l"/>
        <c:numFmt formatCode="General" sourceLinked="1"/>
        <c:majorTickMark val="none"/>
        <c:minorTickMark val="none"/>
        <c:tickLblPos val="nextTo"/>
        <c:crossAx val="792116336"/>
        <c:crosses val="autoZero"/>
        <c:auto val="1"/>
        <c:lblAlgn val="ctr"/>
        <c:lblOffset val="100"/>
        <c:noMultiLvlLbl val="0"/>
      </c:catAx>
      <c:valAx>
        <c:axId val="792116336"/>
        <c:scaling>
          <c:orientation val="minMax"/>
        </c:scaling>
        <c:delete val="1"/>
        <c:axPos val="b"/>
        <c:numFmt formatCode="0" sourceLinked="1"/>
        <c:majorTickMark val="none"/>
        <c:minorTickMark val="none"/>
        <c:tickLblPos val="nextTo"/>
        <c:crossAx val="79210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6487907878521473"/>
          <c:w val="1"/>
          <c:h val="0.53512092121478527"/>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772D-4538-80DF-3CCB09BD535F}"/>
            </c:ext>
          </c:extLst>
        </c:ser>
        <c:dLbls>
          <c:showLegendKey val="0"/>
          <c:showVal val="0"/>
          <c:showCatName val="0"/>
          <c:showSerName val="0"/>
          <c:showPercent val="0"/>
          <c:showBubbleSize val="0"/>
        </c:dLbls>
        <c:axId val="527976640"/>
        <c:axId val="527978560"/>
      </c:areaChart>
      <c:catAx>
        <c:axId val="527976640"/>
        <c:scaling>
          <c:orientation val="minMax"/>
        </c:scaling>
        <c:delete val="1"/>
        <c:axPos val="b"/>
        <c:numFmt formatCode="General" sourceLinked="1"/>
        <c:majorTickMark val="out"/>
        <c:minorTickMark val="none"/>
        <c:tickLblPos val="nextTo"/>
        <c:crossAx val="527978560"/>
        <c:crosses val="autoZero"/>
        <c:auto val="1"/>
        <c:lblAlgn val="ctr"/>
        <c:lblOffset val="100"/>
        <c:noMultiLvlLbl val="0"/>
      </c:catAx>
      <c:valAx>
        <c:axId val="527978560"/>
        <c:scaling>
          <c:orientation val="minMax"/>
        </c:scaling>
        <c:delete val="1"/>
        <c:axPos val="l"/>
        <c:numFmt formatCode="General" sourceLinked="1"/>
        <c:majorTickMark val="none"/>
        <c:minorTickMark val="none"/>
        <c:tickLblPos val="nextTo"/>
        <c:crossAx val="52797664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2032333793566832"/>
          <c:w val="1"/>
          <c:h val="0.47967666206433163"/>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0501-47C5-A3DD-C3B8C3416980}"/>
            </c:ext>
          </c:extLst>
        </c:ser>
        <c:dLbls>
          <c:showLegendKey val="0"/>
          <c:showVal val="0"/>
          <c:showCatName val="0"/>
          <c:showSerName val="0"/>
          <c:showPercent val="0"/>
          <c:showBubbleSize val="0"/>
        </c:dLbls>
        <c:axId val="717821200"/>
        <c:axId val="717820720"/>
      </c:areaChart>
      <c:catAx>
        <c:axId val="717821200"/>
        <c:scaling>
          <c:orientation val="minMax"/>
        </c:scaling>
        <c:delete val="1"/>
        <c:axPos val="b"/>
        <c:numFmt formatCode="General" sourceLinked="1"/>
        <c:majorTickMark val="out"/>
        <c:minorTickMark val="none"/>
        <c:tickLblPos val="nextTo"/>
        <c:crossAx val="717820720"/>
        <c:crosses val="autoZero"/>
        <c:auto val="1"/>
        <c:lblAlgn val="ctr"/>
        <c:lblOffset val="100"/>
        <c:noMultiLvlLbl val="0"/>
      </c:catAx>
      <c:valAx>
        <c:axId val="717820720"/>
        <c:scaling>
          <c:orientation val="minMax"/>
        </c:scaling>
        <c:delete val="1"/>
        <c:axPos val="l"/>
        <c:numFmt formatCode="0.00" sourceLinked="1"/>
        <c:majorTickMark val="none"/>
        <c:minorTickMark val="none"/>
        <c:tickLblPos val="nextTo"/>
        <c:crossAx val="717821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80553687365367E-2"/>
          <c:y val="0.39192369214751277"/>
          <c:w val="0.92781944631263458"/>
          <c:h val="0.58885709226888139"/>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CA33-447C-B4EA-4FC36DA2B4D8}"/>
            </c:ext>
          </c:extLst>
        </c:ser>
        <c:dLbls>
          <c:showLegendKey val="0"/>
          <c:showVal val="0"/>
          <c:showCatName val="0"/>
          <c:showSerName val="0"/>
          <c:showPercent val="0"/>
          <c:showBubbleSize val="0"/>
        </c:dLbls>
        <c:axId val="699134048"/>
        <c:axId val="699133088"/>
      </c:areaChart>
      <c:catAx>
        <c:axId val="699134048"/>
        <c:scaling>
          <c:orientation val="minMax"/>
        </c:scaling>
        <c:delete val="1"/>
        <c:axPos val="b"/>
        <c:numFmt formatCode="General" sourceLinked="1"/>
        <c:majorTickMark val="out"/>
        <c:minorTickMark val="none"/>
        <c:tickLblPos val="nextTo"/>
        <c:crossAx val="699133088"/>
        <c:crosses val="autoZero"/>
        <c:auto val="1"/>
        <c:lblAlgn val="ctr"/>
        <c:lblOffset val="100"/>
        <c:noMultiLvlLbl val="0"/>
      </c:catAx>
      <c:valAx>
        <c:axId val="699133088"/>
        <c:scaling>
          <c:orientation val="minMax"/>
        </c:scaling>
        <c:delete val="1"/>
        <c:axPos val="l"/>
        <c:numFmt formatCode="0.00" sourceLinked="1"/>
        <c:majorTickMark val="none"/>
        <c:minorTickMark val="none"/>
        <c:tickLblPos val="nextTo"/>
        <c:crossAx val="69913404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70941000683588E-2"/>
          <c:y val="0.11017211139291617"/>
          <c:w val="0.93605811799863281"/>
          <c:h val="0.62513091317459712"/>
        </c:manualLayout>
      </c:layout>
      <c:barChart>
        <c:barDir val="col"/>
        <c:grouping val="clustered"/>
        <c:varyColors val="0"/>
        <c:ser>
          <c:idx val="0"/>
          <c:order val="0"/>
          <c:tx>
            <c:strRef>
              <c:f>'Pivot Report'!$B$47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Report'!$A$48:$A$56</c:f>
              <c:strCache>
                <c:ptCount val="8"/>
                <c:pt idx="0">
                  <c:v>0-9</c:v>
                </c:pt>
                <c:pt idx="1">
                  <c:v>10-19</c:v>
                </c:pt>
                <c:pt idx="2">
                  <c:v>20-29</c:v>
                </c:pt>
                <c:pt idx="3">
                  <c:v>30-39</c:v>
                </c:pt>
                <c:pt idx="4">
                  <c:v>40-49</c:v>
                </c:pt>
                <c:pt idx="5">
                  <c:v>50-59</c:v>
                </c:pt>
                <c:pt idx="6">
                  <c:v>60-69</c:v>
                </c:pt>
                <c:pt idx="7">
                  <c:v>70-79</c:v>
                </c:pt>
              </c:strCache>
            </c:strRef>
          </c:cat>
          <c:val>
            <c:numRef>
              <c:f>'Pivot Report'!$B$48:$B$56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2C76-4C89-853A-B60C8B00D242}"/>
            </c:ext>
          </c:extLst>
        </c:ser>
        <c:dLbls>
          <c:showLegendKey val="0"/>
          <c:showVal val="0"/>
          <c:showCatName val="0"/>
          <c:showSerName val="0"/>
          <c:showPercent val="0"/>
          <c:showBubbleSize val="0"/>
        </c:dLbls>
        <c:gapWidth val="219"/>
        <c:overlap val="-27"/>
        <c:axId val="354332704"/>
        <c:axId val="354329824"/>
      </c:barChart>
      <c:catAx>
        <c:axId val="3543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329824"/>
        <c:crosses val="autoZero"/>
        <c:auto val="1"/>
        <c:lblAlgn val="ctr"/>
        <c:lblOffset val="100"/>
        <c:noMultiLvlLbl val="0"/>
      </c:catAx>
      <c:valAx>
        <c:axId val="354329824"/>
        <c:scaling>
          <c:orientation val="minMax"/>
        </c:scaling>
        <c:delete val="1"/>
        <c:axPos val="l"/>
        <c:numFmt formatCode="0" sourceLinked="1"/>
        <c:majorTickMark val="none"/>
        <c:minorTickMark val="none"/>
        <c:tickLblPos val="nextTo"/>
        <c:crossAx val="35433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schemeClr val="bg1">
                <a:alpha val="25000"/>
              </a:schemeClr>
            </a:outerShdw>
          </a:effectLst>
        </c:spPr>
      </c:pivotFmt>
      <c:pivotFmt>
        <c:idx val="6"/>
        <c:spPr>
          <a:solidFill>
            <a:schemeClr val="accent1"/>
          </a:solidFill>
          <a:ln>
            <a:noFill/>
          </a:ln>
          <a:effectLst>
            <a:outerShdw blurRad="317500" algn="ctr" rotWithShape="0">
              <a:schemeClr val="bg1">
                <a:alpha val="25000"/>
              </a:schemeClr>
            </a:outerShdw>
          </a:effectLst>
        </c:spPr>
      </c:pivotFmt>
    </c:pivotFmts>
    <c:plotArea>
      <c:layout>
        <c:manualLayout>
          <c:layoutTarget val="inner"/>
          <c:xMode val="edge"/>
          <c:yMode val="edge"/>
          <c:x val="0.23554148842084402"/>
          <c:y val="0.18166201607781041"/>
          <c:w val="0.57934515756904226"/>
          <c:h val="0.69302817356732915"/>
        </c:manualLayout>
      </c:layout>
      <c:pieChart>
        <c:varyColors val="1"/>
        <c:ser>
          <c:idx val="0"/>
          <c:order val="0"/>
          <c:tx>
            <c:strRef>
              <c:f>'Pivot Report'!$E$47</c:f>
              <c:strCache>
                <c:ptCount val="1"/>
                <c:pt idx="0">
                  <c:v>Total</c:v>
                </c:pt>
              </c:strCache>
            </c:strRef>
          </c:tx>
          <c:spPr>
            <a:effectLst>
              <a:outerShdw blurRad="317500" algn="ctr" rotWithShape="0">
                <a:schemeClr val="bg1">
                  <a:alpha val="25000"/>
                </a:schemeClr>
              </a:outerShdw>
            </a:effectLst>
          </c:spPr>
          <c:dPt>
            <c:idx val="0"/>
            <c:bubble3D val="0"/>
            <c:spPr>
              <a:solidFill>
                <a:schemeClr val="accent1"/>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1-D801-467D-B9F7-EE371FAA3279}"/>
              </c:ext>
            </c:extLst>
          </c:dPt>
          <c:dPt>
            <c:idx val="1"/>
            <c:bubble3D val="0"/>
            <c:spPr>
              <a:solidFill>
                <a:schemeClr val="accent2"/>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3-D801-467D-B9F7-EE371FAA32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Report'!$D$48:$D$50</c:f>
              <c:strCache>
                <c:ptCount val="2"/>
                <c:pt idx="0">
                  <c:v>Delay</c:v>
                </c:pt>
                <c:pt idx="1">
                  <c:v>On Time</c:v>
                </c:pt>
              </c:strCache>
            </c:strRef>
          </c:cat>
          <c:val>
            <c:numRef>
              <c:f>'Pivot Report'!$E$48:$E$50</c:f>
              <c:numCache>
                <c:formatCode>0</c:formatCode>
                <c:ptCount val="2"/>
                <c:pt idx="0">
                  <c:v>316</c:v>
                </c:pt>
                <c:pt idx="1">
                  <c:v>197</c:v>
                </c:pt>
              </c:numCache>
            </c:numRef>
          </c:val>
          <c:extLst>
            <c:ext xmlns:c16="http://schemas.microsoft.com/office/drawing/2014/chart" uri="{C3380CC4-5D6E-409C-BE32-E72D297353CC}">
              <c16:uniqueId val="{00000007-9636-42DD-B9F6-41501C1B923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555974884759537"/>
          <c:y val="2.6036747469855692E-2"/>
          <c:w val="0.67638560128787406"/>
          <c:h val="0.16704594004226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47263152405013"/>
          <c:y val="0.17049603866019958"/>
          <c:w val="0.62842401580580876"/>
          <c:h val="0.68264026080878915"/>
        </c:manualLayout>
      </c:layout>
      <c:doughnutChart>
        <c:varyColors val="1"/>
        <c:ser>
          <c:idx val="0"/>
          <c:order val="0"/>
          <c:tx>
            <c:strRef>
              <c:f>'Pivot Report'!$E$54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F6-41E9-A8A2-FA95F91317B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F6-41E9-A8A2-FA95F91317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c:formatCode>
                <c:ptCount val="2"/>
                <c:pt idx="0">
                  <c:v>241</c:v>
                </c:pt>
                <c:pt idx="1">
                  <c:v>272</c:v>
                </c:pt>
              </c:numCache>
            </c:numRef>
          </c:val>
          <c:extLst>
            <c:ext xmlns:c16="http://schemas.microsoft.com/office/drawing/2014/chart" uri="{C3380CC4-5D6E-409C-BE32-E72D297353CC}">
              <c16:uniqueId val="{00000008-476A-49DA-9D4C-583EB2AE7D04}"/>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0.12799466832907422"/>
          <c:y val="6.1047626953246361E-4"/>
          <c:w val="0.64737452050482713"/>
          <c:h val="0.17890899473546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6134233220843"/>
          <c:y val="9.2753409666101336E-2"/>
          <c:w val="0.74488828611967484"/>
          <c:h val="0.75968794976926612"/>
        </c:manualLayout>
      </c:layout>
      <c:barChart>
        <c:barDir val="bar"/>
        <c:grouping val="clustered"/>
        <c:varyColors val="0"/>
        <c:ser>
          <c:idx val="0"/>
          <c:order val="0"/>
          <c:tx>
            <c:strRef>
              <c:f>'Pivot Report'!$H$47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Report'!$G$48:$G$56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Report'!$H$48:$H$56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64E3-4CAC-AA88-F33C2294331A}"/>
            </c:ext>
          </c:extLst>
        </c:ser>
        <c:dLbls>
          <c:showLegendKey val="0"/>
          <c:showVal val="0"/>
          <c:showCatName val="0"/>
          <c:showSerName val="0"/>
          <c:showPercent val="0"/>
          <c:showBubbleSize val="0"/>
        </c:dLbls>
        <c:gapWidth val="30"/>
        <c:axId val="1258291072"/>
        <c:axId val="1258292032"/>
      </c:barChart>
      <c:catAx>
        <c:axId val="125829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58292032"/>
        <c:crosses val="autoZero"/>
        <c:auto val="1"/>
        <c:lblAlgn val="ctr"/>
        <c:lblOffset val="100"/>
        <c:noMultiLvlLbl val="0"/>
      </c:catAx>
      <c:valAx>
        <c:axId val="1258292032"/>
        <c:scaling>
          <c:orientation val="minMax"/>
        </c:scaling>
        <c:delete val="1"/>
        <c:axPos val="b"/>
        <c:numFmt formatCode="0" sourceLinked="1"/>
        <c:majorTickMark val="none"/>
        <c:minorTickMark val="none"/>
        <c:tickLblPos val="nextTo"/>
        <c:crossAx val="12582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51577596992882E-2"/>
          <c:y val="0"/>
          <c:w val="0.9222009047205898"/>
          <c:h val="0.74201744675814729"/>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9E99-4729-90F5-4BD6220E17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7976640"/>
        <c:axId val="527978560"/>
      </c:areaChart>
      <c:catAx>
        <c:axId val="5279766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1200" b="0" i="0" u="none" strike="noStrike" kern="1200" baseline="0">
                <a:solidFill>
                  <a:schemeClr val="bg2"/>
                </a:solidFill>
                <a:latin typeface="+mn-lt"/>
                <a:ea typeface="+mn-ea"/>
                <a:cs typeface="+mn-cs"/>
              </a:defRPr>
            </a:pPr>
            <a:endParaRPr lang="en-US"/>
          </a:p>
        </c:txPr>
        <c:crossAx val="527978560"/>
        <c:crosses val="autoZero"/>
        <c:auto val="1"/>
        <c:lblAlgn val="ctr"/>
        <c:lblOffset val="100"/>
        <c:noMultiLvlLbl val="0"/>
      </c:catAx>
      <c:valAx>
        <c:axId val="527978560"/>
        <c:scaling>
          <c:orientation val="minMax"/>
        </c:scaling>
        <c:delete val="1"/>
        <c:axPos val="l"/>
        <c:numFmt formatCode="General" sourceLinked="1"/>
        <c:majorTickMark val="out"/>
        <c:minorTickMark val="none"/>
        <c:tickLblPos val="nextTo"/>
        <c:crossAx val="527976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solidFill>
            <a:schemeClr val="bg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Report!PivotTable5</c:name>
    <c:fmtId val="18"/>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497378430533063"/>
          <c:w val="1"/>
          <c:h val="0.5616308954288517"/>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A36F-45BD-A730-20B11FA06D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7821200"/>
        <c:axId val="717820720"/>
      </c:areaChart>
      <c:catAx>
        <c:axId val="7178212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1100" b="0" i="0" u="none" strike="noStrike" kern="1200" baseline="0">
                <a:solidFill>
                  <a:schemeClr val="lt1"/>
                </a:solidFill>
                <a:latin typeface="+mn-lt"/>
                <a:ea typeface="+mn-ea"/>
                <a:cs typeface="+mn-cs"/>
              </a:defRPr>
            </a:pPr>
            <a:endParaRPr lang="en-US"/>
          </a:p>
        </c:txPr>
        <c:crossAx val="717820720"/>
        <c:crosses val="autoZero"/>
        <c:auto val="1"/>
        <c:lblAlgn val="ctr"/>
        <c:lblOffset val="100"/>
        <c:noMultiLvlLbl val="0"/>
      </c:catAx>
      <c:valAx>
        <c:axId val="717820720"/>
        <c:scaling>
          <c:orientation val="minMax"/>
        </c:scaling>
        <c:delete val="1"/>
        <c:axPos val="l"/>
        <c:numFmt formatCode="0.00" sourceLinked="1"/>
        <c:majorTickMark val="out"/>
        <c:minorTickMark val="none"/>
        <c:tickLblPos val="nextTo"/>
        <c:crossAx val="717821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1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[PD-Portfolio Dashboard.xlsx]Pivot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94125429443276E-2"/>
          <c:y val="5.7381969368213721E-2"/>
          <c:w val="0.91979938479181622"/>
          <c:h val="0.79272756988908843"/>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64EB-41DE-82A2-20DC657C78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99134048"/>
        <c:axId val="699133088"/>
      </c:areaChart>
      <c:catAx>
        <c:axId val="6991340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699133088"/>
        <c:crosses val="autoZero"/>
        <c:auto val="1"/>
        <c:lblAlgn val="ctr"/>
        <c:lblOffset val="100"/>
        <c:noMultiLvlLbl val="0"/>
      </c:catAx>
      <c:valAx>
        <c:axId val="699133088"/>
        <c:scaling>
          <c:orientation val="minMax"/>
        </c:scaling>
        <c:delete val="1"/>
        <c:axPos val="l"/>
        <c:numFmt formatCode="0.00" sourceLinked="1"/>
        <c:majorTickMark val="out"/>
        <c:minorTickMark val="none"/>
        <c:tickLblPos val="nextTo"/>
        <c:crossAx val="69913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umber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1066800</xdr:colOff>
      <xdr:row>40</xdr:row>
      <xdr:rowOff>152400</xdr:rowOff>
    </xdr:from>
    <xdr:to>
      <xdr:col>3</xdr:col>
      <xdr:colOff>1200150</xdr:colOff>
      <xdr:row>43</xdr:row>
      <xdr:rowOff>66675</xdr:rowOff>
    </xdr:to>
    <xdr:graphicFrame macro="">
      <xdr:nvGraphicFramePr>
        <xdr:cNvPr id="6" name="Chart 5">
          <a:extLst>
            <a:ext uri="{FF2B5EF4-FFF2-40B4-BE49-F238E27FC236}">
              <a16:creationId xmlns:a16="http://schemas.microsoft.com/office/drawing/2014/main" id="{3851AF53-9A62-A918-66CD-AE844178F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53579</xdr:colOff>
      <xdr:row>0</xdr:row>
      <xdr:rowOff>53579</xdr:rowOff>
    </xdr:from>
    <xdr:to>
      <xdr:col>4</xdr:col>
      <xdr:colOff>285750</xdr:colOff>
      <xdr:row>2</xdr:row>
      <xdr:rowOff>119063</xdr:rowOff>
    </xdr:to>
    <xdr:sp macro="" textlink="">
      <xdr:nvSpPr>
        <xdr:cNvPr id="2" name="Rectangle: Rounded Corners 1">
          <a:extLst>
            <a:ext uri="{FF2B5EF4-FFF2-40B4-BE49-F238E27FC236}">
              <a16:creationId xmlns:a16="http://schemas.microsoft.com/office/drawing/2014/main" id="{FD6F4C10-8755-6DD2-2589-A84B3496C22C}"/>
            </a:ext>
          </a:extLst>
        </xdr:cNvPr>
        <xdr:cNvSpPr/>
      </xdr:nvSpPr>
      <xdr:spPr>
        <a:xfrm>
          <a:off x="53579" y="53579"/>
          <a:ext cx="3589734" cy="541734"/>
        </a:xfrm>
        <a:prstGeom prst="roundRect">
          <a:avLst>
            <a:gd name="adj" fmla="val 416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339329</xdr:colOff>
      <xdr:row>0</xdr:row>
      <xdr:rowOff>53578</xdr:rowOff>
    </xdr:from>
    <xdr:to>
      <xdr:col>6</xdr:col>
      <xdr:colOff>89298</xdr:colOff>
      <xdr:row>2</xdr:row>
      <xdr:rowOff>125015</xdr:rowOff>
    </xdr:to>
    <xdr:sp macro="" textlink="">
      <xdr:nvSpPr>
        <xdr:cNvPr id="3" name="Rectangle: Rounded Corners 2">
          <a:extLst>
            <a:ext uri="{FF2B5EF4-FFF2-40B4-BE49-F238E27FC236}">
              <a16:creationId xmlns:a16="http://schemas.microsoft.com/office/drawing/2014/main" id="{E81FF050-4A61-7C47-4571-31EFC5091774}"/>
            </a:ext>
          </a:extLst>
        </xdr:cNvPr>
        <xdr:cNvSpPr/>
      </xdr:nvSpPr>
      <xdr:spPr>
        <a:xfrm>
          <a:off x="3696892" y="53578"/>
          <a:ext cx="1428750" cy="547687"/>
        </a:xfrm>
        <a:prstGeom prst="roundRect">
          <a:avLst>
            <a:gd name="adj" fmla="val 102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154779</xdr:colOff>
      <xdr:row>0</xdr:row>
      <xdr:rowOff>53577</xdr:rowOff>
    </xdr:from>
    <xdr:to>
      <xdr:col>8</xdr:col>
      <xdr:colOff>125015</xdr:colOff>
      <xdr:row>6</xdr:row>
      <xdr:rowOff>166687</xdr:rowOff>
    </xdr:to>
    <xdr:sp macro="" textlink="">
      <xdr:nvSpPr>
        <xdr:cNvPr id="4" name="Rectangle: Rounded Corners 3">
          <a:extLst>
            <a:ext uri="{FF2B5EF4-FFF2-40B4-BE49-F238E27FC236}">
              <a16:creationId xmlns:a16="http://schemas.microsoft.com/office/drawing/2014/main" id="{819B0F18-5B8C-474A-D0F7-570D137D584B}"/>
            </a:ext>
          </a:extLst>
        </xdr:cNvPr>
        <xdr:cNvSpPr/>
      </xdr:nvSpPr>
      <xdr:spPr>
        <a:xfrm>
          <a:off x="5191123" y="53577"/>
          <a:ext cx="1649017" cy="1541860"/>
        </a:xfrm>
        <a:prstGeom prst="roundRect">
          <a:avLst>
            <a:gd name="adj" fmla="val 44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184547</xdr:colOff>
      <xdr:row>0</xdr:row>
      <xdr:rowOff>47623</xdr:rowOff>
    </xdr:from>
    <xdr:to>
      <xdr:col>10</xdr:col>
      <xdr:colOff>154566</xdr:colOff>
      <xdr:row>6</xdr:row>
      <xdr:rowOff>160733</xdr:rowOff>
    </xdr:to>
    <xdr:sp macro="" textlink="">
      <xdr:nvSpPr>
        <xdr:cNvPr id="5" name="Rectangle: Rounded Corners 4">
          <a:extLst>
            <a:ext uri="{FF2B5EF4-FFF2-40B4-BE49-F238E27FC236}">
              <a16:creationId xmlns:a16="http://schemas.microsoft.com/office/drawing/2014/main" id="{83AB1A51-4CF9-14AA-528D-74078FB8FF06}"/>
            </a:ext>
          </a:extLst>
        </xdr:cNvPr>
        <xdr:cNvSpPr/>
      </xdr:nvSpPr>
      <xdr:spPr>
        <a:xfrm>
          <a:off x="6899672" y="47623"/>
          <a:ext cx="1648800" cy="1541860"/>
        </a:xfrm>
        <a:prstGeom prst="roundRect">
          <a:avLst>
            <a:gd name="adj" fmla="val 44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41671</xdr:colOff>
      <xdr:row>2</xdr:row>
      <xdr:rowOff>178595</xdr:rowOff>
    </xdr:from>
    <xdr:to>
      <xdr:col>0</xdr:col>
      <xdr:colOff>702468</xdr:colOff>
      <xdr:row>14</xdr:row>
      <xdr:rowOff>101203</xdr:rowOff>
    </xdr:to>
    <xdr:sp macro="" textlink="">
      <xdr:nvSpPr>
        <xdr:cNvPr id="8" name="Rectangle: Rounded Corners 7">
          <a:extLst>
            <a:ext uri="{FF2B5EF4-FFF2-40B4-BE49-F238E27FC236}">
              <a16:creationId xmlns:a16="http://schemas.microsoft.com/office/drawing/2014/main" id="{320BA63F-C9B0-182D-B8BE-3CAC51C3F089}"/>
            </a:ext>
          </a:extLst>
        </xdr:cNvPr>
        <xdr:cNvSpPr/>
      </xdr:nvSpPr>
      <xdr:spPr>
        <a:xfrm>
          <a:off x="41671" y="654845"/>
          <a:ext cx="660797" cy="2780108"/>
        </a:xfrm>
        <a:prstGeom prst="roundRect">
          <a:avLst>
            <a:gd name="adj" fmla="val 630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738187</xdr:colOff>
      <xdr:row>2</xdr:row>
      <xdr:rowOff>178593</xdr:rowOff>
    </xdr:from>
    <xdr:to>
      <xdr:col>2</xdr:col>
      <xdr:colOff>479334</xdr:colOff>
      <xdr:row>6</xdr:row>
      <xdr:rowOff>29764</xdr:rowOff>
    </xdr:to>
    <xdr:sp macro="" textlink="">
      <xdr:nvSpPr>
        <xdr:cNvPr id="9" name="Rectangle: Rounded Corners 8">
          <a:extLst>
            <a:ext uri="{FF2B5EF4-FFF2-40B4-BE49-F238E27FC236}">
              <a16:creationId xmlns:a16="http://schemas.microsoft.com/office/drawing/2014/main" id="{F372302C-FC8F-4D1B-2BD1-2BDBE41E90B4}"/>
            </a:ext>
          </a:extLst>
        </xdr:cNvPr>
        <xdr:cNvSpPr/>
      </xdr:nvSpPr>
      <xdr:spPr>
        <a:xfrm>
          <a:off x="738187" y="654843"/>
          <a:ext cx="1419928" cy="803671"/>
        </a:xfrm>
        <a:prstGeom prst="roundRect">
          <a:avLst>
            <a:gd name="adj" fmla="val 740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529828</xdr:colOff>
      <xdr:row>2</xdr:row>
      <xdr:rowOff>172636</xdr:rowOff>
    </xdr:from>
    <xdr:to>
      <xdr:col>4</xdr:col>
      <xdr:colOff>259337</xdr:colOff>
      <xdr:row>6</xdr:row>
      <xdr:rowOff>22936</xdr:rowOff>
    </xdr:to>
    <xdr:sp macro="" textlink="">
      <xdr:nvSpPr>
        <xdr:cNvPr id="12" name="Rectangle: Rounded Corners 11">
          <a:extLst>
            <a:ext uri="{FF2B5EF4-FFF2-40B4-BE49-F238E27FC236}">
              <a16:creationId xmlns:a16="http://schemas.microsoft.com/office/drawing/2014/main" id="{E323827F-C82E-229C-C972-68E759708EFB}"/>
            </a:ext>
          </a:extLst>
        </xdr:cNvPr>
        <xdr:cNvSpPr/>
      </xdr:nvSpPr>
      <xdr:spPr>
        <a:xfrm>
          <a:off x="2208609" y="648886"/>
          <a:ext cx="1408291" cy="802800"/>
        </a:xfrm>
        <a:prstGeom prst="roundRect">
          <a:avLst>
            <a:gd name="adj" fmla="val 740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309562</xdr:colOff>
      <xdr:row>2</xdr:row>
      <xdr:rowOff>178588</xdr:rowOff>
    </xdr:from>
    <xdr:to>
      <xdr:col>6</xdr:col>
      <xdr:colOff>92381</xdr:colOff>
      <xdr:row>6</xdr:row>
      <xdr:rowOff>28888</xdr:rowOff>
    </xdr:to>
    <xdr:sp macro="" textlink="">
      <xdr:nvSpPr>
        <xdr:cNvPr id="13" name="Rectangle: Rounded Corners 12">
          <a:extLst>
            <a:ext uri="{FF2B5EF4-FFF2-40B4-BE49-F238E27FC236}">
              <a16:creationId xmlns:a16="http://schemas.microsoft.com/office/drawing/2014/main" id="{53CFF9F7-8CD8-7C92-4552-D31F6884778D}"/>
            </a:ext>
          </a:extLst>
        </xdr:cNvPr>
        <xdr:cNvSpPr/>
      </xdr:nvSpPr>
      <xdr:spPr>
        <a:xfrm>
          <a:off x="3667125" y="654838"/>
          <a:ext cx="1461600" cy="802800"/>
        </a:xfrm>
        <a:prstGeom prst="roundRect">
          <a:avLst>
            <a:gd name="adj" fmla="val 740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738187</xdr:colOff>
      <xdr:row>8</xdr:row>
      <xdr:rowOff>226219</xdr:rowOff>
    </xdr:from>
    <xdr:to>
      <xdr:col>6</xdr:col>
      <xdr:colOff>95250</xdr:colOff>
      <xdr:row>14</xdr:row>
      <xdr:rowOff>95250</xdr:rowOff>
    </xdr:to>
    <xdr:sp macro="" textlink="">
      <xdr:nvSpPr>
        <xdr:cNvPr id="15" name="Rectangle: Rounded Corners 14">
          <a:extLst>
            <a:ext uri="{FF2B5EF4-FFF2-40B4-BE49-F238E27FC236}">
              <a16:creationId xmlns:a16="http://schemas.microsoft.com/office/drawing/2014/main" id="{AD928F47-8B1B-0D67-CE97-FA566617BB76}"/>
            </a:ext>
          </a:extLst>
        </xdr:cNvPr>
        <xdr:cNvSpPr/>
      </xdr:nvSpPr>
      <xdr:spPr>
        <a:xfrm>
          <a:off x="738187" y="2131219"/>
          <a:ext cx="4393407" cy="1297781"/>
        </a:xfrm>
        <a:prstGeom prst="roundRect">
          <a:avLst>
            <a:gd name="adj" fmla="val 740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160736</xdr:colOff>
      <xdr:row>6</xdr:row>
      <xdr:rowOff>202406</xdr:rowOff>
    </xdr:from>
    <xdr:to>
      <xdr:col>10</xdr:col>
      <xdr:colOff>148828</xdr:colOff>
      <xdr:row>14</xdr:row>
      <xdr:rowOff>95250</xdr:rowOff>
    </xdr:to>
    <xdr:sp macro="" textlink="">
      <xdr:nvSpPr>
        <xdr:cNvPr id="29" name="Rectangle: Rounded Corners 28">
          <a:extLst>
            <a:ext uri="{FF2B5EF4-FFF2-40B4-BE49-F238E27FC236}">
              <a16:creationId xmlns:a16="http://schemas.microsoft.com/office/drawing/2014/main" id="{CB3BC8B8-82B1-D9A8-D67C-EEC5F0A5C52A}"/>
            </a:ext>
          </a:extLst>
        </xdr:cNvPr>
        <xdr:cNvSpPr/>
      </xdr:nvSpPr>
      <xdr:spPr>
        <a:xfrm>
          <a:off x="5197080" y="1631156"/>
          <a:ext cx="3345654" cy="1797844"/>
        </a:xfrm>
        <a:prstGeom prst="roundRect">
          <a:avLst>
            <a:gd name="adj" fmla="val 449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702468</xdr:colOff>
      <xdr:row>0</xdr:row>
      <xdr:rowOff>196454</xdr:rowOff>
    </xdr:from>
    <xdr:to>
      <xdr:col>4</xdr:col>
      <xdr:colOff>279795</xdr:colOff>
      <xdr:row>1</xdr:row>
      <xdr:rowOff>208360</xdr:rowOff>
    </xdr:to>
    <xdr:sp macro="" textlink="">
      <xdr:nvSpPr>
        <xdr:cNvPr id="31" name="TextBox 30">
          <a:extLst>
            <a:ext uri="{FF2B5EF4-FFF2-40B4-BE49-F238E27FC236}">
              <a16:creationId xmlns:a16="http://schemas.microsoft.com/office/drawing/2014/main" id="{BB59FCB4-51F0-7F37-5437-668AFDEDAF03}"/>
            </a:ext>
          </a:extLst>
        </xdr:cNvPr>
        <xdr:cNvSpPr txBox="1"/>
      </xdr:nvSpPr>
      <xdr:spPr>
        <a:xfrm>
          <a:off x="702468" y="196454"/>
          <a:ext cx="2934890"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Hospital Emergency Room Analytics</a:t>
          </a:r>
        </a:p>
      </xdr:txBody>
    </xdr:sp>
    <xdr:clientData/>
  </xdr:twoCellAnchor>
  <xdr:twoCellAnchor editAs="oneCell">
    <xdr:from>
      <xdr:col>0</xdr:col>
      <xdr:colOff>17859</xdr:colOff>
      <xdr:row>0</xdr:row>
      <xdr:rowOff>0</xdr:rowOff>
    </xdr:from>
    <xdr:to>
      <xdr:col>0</xdr:col>
      <xdr:colOff>785811</xdr:colOff>
      <xdr:row>2</xdr:row>
      <xdr:rowOff>214313</xdr:rowOff>
    </xdr:to>
    <xdr:pic>
      <xdr:nvPicPr>
        <xdr:cNvPr id="33" name="Picture 32">
          <a:extLst>
            <a:ext uri="{FF2B5EF4-FFF2-40B4-BE49-F238E27FC236}">
              <a16:creationId xmlns:a16="http://schemas.microsoft.com/office/drawing/2014/main" id="{73F3D46E-5E24-29A9-5A8E-88D4D9E8B4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131" t="-1042" r="16048" b="-6257"/>
        <a:stretch>
          <a:fillRect/>
        </a:stretch>
      </xdr:blipFill>
      <xdr:spPr>
        <a:xfrm>
          <a:off x="17859" y="0"/>
          <a:ext cx="767952" cy="690563"/>
        </a:xfrm>
        <a:prstGeom prst="rect">
          <a:avLst/>
        </a:prstGeom>
      </xdr:spPr>
    </xdr:pic>
    <xdr:clientData/>
  </xdr:twoCellAnchor>
  <xdr:twoCellAnchor editAs="absolute">
    <xdr:from>
      <xdr:col>0</xdr:col>
      <xdr:colOff>738187</xdr:colOff>
      <xdr:row>3</xdr:row>
      <xdr:rowOff>229790</xdr:rowOff>
    </xdr:from>
    <xdr:to>
      <xdr:col>2</xdr:col>
      <xdr:colOff>482203</xdr:colOff>
      <xdr:row>4</xdr:row>
      <xdr:rowOff>208358</xdr:rowOff>
    </xdr:to>
    <xdr:sp macro="" textlink="">
      <xdr:nvSpPr>
        <xdr:cNvPr id="34" name="TextBox 33">
          <a:extLst>
            <a:ext uri="{FF2B5EF4-FFF2-40B4-BE49-F238E27FC236}">
              <a16:creationId xmlns:a16="http://schemas.microsoft.com/office/drawing/2014/main" id="{A26075DD-8A8E-C1EA-B3E2-0E5B1172F3B4}"/>
            </a:ext>
          </a:extLst>
        </xdr:cNvPr>
        <xdr:cNvSpPr txBox="1"/>
      </xdr:nvSpPr>
      <xdr:spPr>
        <a:xfrm>
          <a:off x="738187" y="944165"/>
          <a:ext cx="1422797" cy="21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Number of Patients</a:t>
          </a:r>
        </a:p>
      </xdr:txBody>
    </xdr:sp>
    <xdr:clientData/>
  </xdr:twoCellAnchor>
  <xdr:twoCellAnchor editAs="absolute">
    <xdr:from>
      <xdr:col>1</xdr:col>
      <xdr:colOff>84533</xdr:colOff>
      <xdr:row>2</xdr:row>
      <xdr:rowOff>233361</xdr:rowOff>
    </xdr:from>
    <xdr:to>
      <xdr:col>2</xdr:col>
      <xdr:colOff>247650</xdr:colOff>
      <xdr:row>3</xdr:row>
      <xdr:rowOff>229790</xdr:rowOff>
    </xdr:to>
    <xdr:sp macro="" textlink="'Pivot Report'!A5">
      <xdr:nvSpPr>
        <xdr:cNvPr id="35" name="TextBox 34">
          <a:extLst>
            <a:ext uri="{FF2B5EF4-FFF2-40B4-BE49-F238E27FC236}">
              <a16:creationId xmlns:a16="http://schemas.microsoft.com/office/drawing/2014/main" id="{75C15F28-66C6-A7A4-0D12-12F8E8D4BDDA}"/>
            </a:ext>
          </a:extLst>
        </xdr:cNvPr>
        <xdr:cNvSpPr txBox="1"/>
      </xdr:nvSpPr>
      <xdr:spPr>
        <a:xfrm>
          <a:off x="923924" y="709611"/>
          <a:ext cx="1002507" cy="23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5C43872-8136-4248-8D51-EBE119267A43}" type="TxLink">
            <a:rPr lang="en-US" sz="1400" b="1" i="0" u="none" strike="noStrike">
              <a:solidFill>
                <a:srgbClr val="000000"/>
              </a:solidFill>
              <a:latin typeface="Aptos Narrow"/>
            </a:rPr>
            <a:pPr algn="ctr"/>
            <a:t>513</a:t>
          </a:fld>
          <a:endParaRPr lang="en-IN" sz="1100" b="1"/>
        </a:p>
      </xdr:txBody>
    </xdr:sp>
    <xdr:clientData/>
  </xdr:twoCellAnchor>
  <xdr:twoCellAnchor editAs="absolute">
    <xdr:from>
      <xdr:col>2</xdr:col>
      <xdr:colOff>535781</xdr:colOff>
      <xdr:row>3</xdr:row>
      <xdr:rowOff>227411</xdr:rowOff>
    </xdr:from>
    <xdr:to>
      <xdr:col>4</xdr:col>
      <xdr:colOff>255984</xdr:colOff>
      <xdr:row>4</xdr:row>
      <xdr:rowOff>214314</xdr:rowOff>
    </xdr:to>
    <xdr:sp macro="" textlink="">
      <xdr:nvSpPr>
        <xdr:cNvPr id="36" name="TextBox 35">
          <a:extLst>
            <a:ext uri="{FF2B5EF4-FFF2-40B4-BE49-F238E27FC236}">
              <a16:creationId xmlns:a16="http://schemas.microsoft.com/office/drawing/2014/main" id="{8CC23C14-B8B0-060D-26C2-218034486B8A}"/>
            </a:ext>
          </a:extLst>
        </xdr:cNvPr>
        <xdr:cNvSpPr txBox="1"/>
      </xdr:nvSpPr>
      <xdr:spPr>
        <a:xfrm>
          <a:off x="2214562" y="941786"/>
          <a:ext cx="1398985" cy="225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Avg. Wait Time (Minute)</a:t>
          </a:r>
        </a:p>
      </xdr:txBody>
    </xdr:sp>
    <xdr:clientData/>
  </xdr:twoCellAnchor>
  <xdr:twoCellAnchor editAs="absolute">
    <xdr:from>
      <xdr:col>2</xdr:col>
      <xdr:colOff>677467</xdr:colOff>
      <xdr:row>2</xdr:row>
      <xdr:rowOff>230980</xdr:rowOff>
    </xdr:from>
    <xdr:to>
      <xdr:col>4</xdr:col>
      <xdr:colOff>1192</xdr:colOff>
      <xdr:row>3</xdr:row>
      <xdr:rowOff>227409</xdr:rowOff>
    </xdr:to>
    <xdr:sp macro="" textlink="'Pivot Report'!A10">
      <xdr:nvSpPr>
        <xdr:cNvPr id="37" name="TextBox 36">
          <a:extLst>
            <a:ext uri="{FF2B5EF4-FFF2-40B4-BE49-F238E27FC236}">
              <a16:creationId xmlns:a16="http://schemas.microsoft.com/office/drawing/2014/main" id="{71C4707C-CD1F-20B1-BC12-577388875BEC}"/>
            </a:ext>
          </a:extLst>
        </xdr:cNvPr>
        <xdr:cNvSpPr txBox="1"/>
      </xdr:nvSpPr>
      <xdr:spPr>
        <a:xfrm>
          <a:off x="2356248" y="707230"/>
          <a:ext cx="1002507" cy="23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C56D7FE-70C9-4565-9BC4-07B0229368E8}" type="TxLink">
            <a:rPr lang="en-US" sz="1400" b="1" i="0" u="none" strike="noStrike">
              <a:solidFill>
                <a:srgbClr val="000000"/>
              </a:solidFill>
              <a:latin typeface="Aptos Narrow"/>
            </a:rPr>
            <a:pPr algn="ctr"/>
            <a:t>36.32</a:t>
          </a:fld>
          <a:endParaRPr lang="en-IN" sz="1100" b="1"/>
        </a:p>
      </xdr:txBody>
    </xdr:sp>
    <xdr:clientData/>
  </xdr:twoCellAnchor>
  <xdr:twoCellAnchor editAs="absolute">
    <xdr:from>
      <xdr:col>4</xdr:col>
      <xdr:colOff>315515</xdr:colOff>
      <xdr:row>3</xdr:row>
      <xdr:rowOff>225029</xdr:rowOff>
    </xdr:from>
    <xdr:to>
      <xdr:col>6</xdr:col>
      <xdr:colOff>101204</xdr:colOff>
      <xdr:row>4</xdr:row>
      <xdr:rowOff>196453</xdr:rowOff>
    </xdr:to>
    <xdr:sp macro="" textlink="">
      <xdr:nvSpPr>
        <xdr:cNvPr id="38" name="TextBox 37">
          <a:extLst>
            <a:ext uri="{FF2B5EF4-FFF2-40B4-BE49-F238E27FC236}">
              <a16:creationId xmlns:a16="http://schemas.microsoft.com/office/drawing/2014/main" id="{7536DAE1-E1DE-CA14-D5AD-C7E26138435D}"/>
            </a:ext>
          </a:extLst>
        </xdr:cNvPr>
        <xdr:cNvSpPr txBox="1"/>
      </xdr:nvSpPr>
      <xdr:spPr>
        <a:xfrm>
          <a:off x="3673078" y="939404"/>
          <a:ext cx="1464470"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Patient</a:t>
          </a:r>
          <a:r>
            <a:rPr lang="en-IN" sz="1000" baseline="0"/>
            <a:t> Satisfaction Score</a:t>
          </a:r>
          <a:endParaRPr lang="en-IN" sz="1000"/>
        </a:p>
      </xdr:txBody>
    </xdr:sp>
    <xdr:clientData/>
  </xdr:twoCellAnchor>
  <xdr:twoCellAnchor editAs="absolute">
    <xdr:from>
      <xdr:col>4</xdr:col>
      <xdr:colOff>484584</xdr:colOff>
      <xdr:row>2</xdr:row>
      <xdr:rowOff>228601</xdr:rowOff>
    </xdr:from>
    <xdr:to>
      <xdr:col>5</xdr:col>
      <xdr:colOff>647701</xdr:colOff>
      <xdr:row>3</xdr:row>
      <xdr:rowOff>225030</xdr:rowOff>
    </xdr:to>
    <xdr:sp macro="" textlink="'Pivot Report'!A14">
      <xdr:nvSpPr>
        <xdr:cNvPr id="39" name="TextBox 38">
          <a:extLst>
            <a:ext uri="{FF2B5EF4-FFF2-40B4-BE49-F238E27FC236}">
              <a16:creationId xmlns:a16="http://schemas.microsoft.com/office/drawing/2014/main" id="{1D7B78CD-53D5-E739-1679-ECD91BE24DA0}"/>
            </a:ext>
          </a:extLst>
        </xdr:cNvPr>
        <xdr:cNvSpPr txBox="1"/>
      </xdr:nvSpPr>
      <xdr:spPr>
        <a:xfrm>
          <a:off x="3842147" y="704851"/>
          <a:ext cx="1002507" cy="23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A37B477-FF09-40E6-BB57-ADE20B8639F7}" type="TxLink">
            <a:rPr lang="en-US" sz="1400" b="1" i="0" u="none" strike="noStrike">
              <a:solidFill>
                <a:srgbClr val="000000"/>
              </a:solidFill>
              <a:latin typeface="Aptos Narrow"/>
            </a:rPr>
            <a:pPr algn="ctr"/>
            <a:t>4.96</a:t>
          </a:fld>
          <a:endParaRPr lang="en-IN" sz="1100" b="1"/>
        </a:p>
      </xdr:txBody>
    </xdr:sp>
    <xdr:clientData/>
  </xdr:twoCellAnchor>
  <xdr:twoCellAnchor editAs="oneCell">
    <xdr:from>
      <xdr:col>2</xdr:col>
      <xdr:colOff>142874</xdr:colOff>
      <xdr:row>2</xdr:row>
      <xdr:rowOff>154782</xdr:rowOff>
    </xdr:from>
    <xdr:to>
      <xdr:col>2</xdr:col>
      <xdr:colOff>458390</xdr:colOff>
      <xdr:row>3</xdr:row>
      <xdr:rowOff>232173</xdr:rowOff>
    </xdr:to>
    <xdr:pic>
      <xdr:nvPicPr>
        <xdr:cNvPr id="41" name="Graphic 40" descr="User with solid fill">
          <a:extLst>
            <a:ext uri="{FF2B5EF4-FFF2-40B4-BE49-F238E27FC236}">
              <a16:creationId xmlns:a16="http://schemas.microsoft.com/office/drawing/2014/main" id="{348DE3BB-1CCC-61A7-6DC2-BFC242F24C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21655" y="631032"/>
          <a:ext cx="315516" cy="315516"/>
        </a:xfrm>
        <a:prstGeom prst="rect">
          <a:avLst/>
        </a:prstGeom>
      </xdr:spPr>
    </xdr:pic>
    <xdr:clientData/>
  </xdr:twoCellAnchor>
  <xdr:twoCellAnchor editAs="oneCell">
    <xdr:from>
      <xdr:col>5</xdr:col>
      <xdr:colOff>613172</xdr:colOff>
      <xdr:row>2</xdr:row>
      <xdr:rowOff>166688</xdr:rowOff>
    </xdr:from>
    <xdr:to>
      <xdr:col>6</xdr:col>
      <xdr:colOff>95249</xdr:colOff>
      <xdr:row>4</xdr:row>
      <xdr:rowOff>11906</xdr:rowOff>
    </xdr:to>
    <xdr:pic>
      <xdr:nvPicPr>
        <xdr:cNvPr id="43" name="Graphic 42" descr="Rating with solid fill">
          <a:extLst>
            <a:ext uri="{FF2B5EF4-FFF2-40B4-BE49-F238E27FC236}">
              <a16:creationId xmlns:a16="http://schemas.microsoft.com/office/drawing/2014/main" id="{495A34E8-D45D-ACDD-CE36-11904544D59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10125" y="642938"/>
          <a:ext cx="321468" cy="321468"/>
        </a:xfrm>
        <a:prstGeom prst="rect">
          <a:avLst/>
        </a:prstGeom>
      </xdr:spPr>
    </xdr:pic>
    <xdr:clientData/>
  </xdr:twoCellAnchor>
  <xdr:twoCellAnchor editAs="oneCell">
    <xdr:from>
      <xdr:col>4</xdr:col>
      <xdr:colOff>17859</xdr:colOff>
      <xdr:row>2</xdr:row>
      <xdr:rowOff>190501</xdr:rowOff>
    </xdr:from>
    <xdr:to>
      <xdr:col>4</xdr:col>
      <xdr:colOff>285749</xdr:colOff>
      <xdr:row>3</xdr:row>
      <xdr:rowOff>220266</xdr:rowOff>
    </xdr:to>
    <xdr:pic>
      <xdr:nvPicPr>
        <xdr:cNvPr id="45" name="Graphic 44" descr="Hourglass 30% with solid fill">
          <a:extLst>
            <a:ext uri="{FF2B5EF4-FFF2-40B4-BE49-F238E27FC236}">
              <a16:creationId xmlns:a16="http://schemas.microsoft.com/office/drawing/2014/main" id="{E94E7028-4AB8-790E-9704-35A68AF45A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75422" y="666751"/>
          <a:ext cx="267890" cy="267890"/>
        </a:xfrm>
        <a:prstGeom prst="rect">
          <a:avLst/>
        </a:prstGeom>
      </xdr:spPr>
    </xdr:pic>
    <xdr:clientData/>
  </xdr:twoCellAnchor>
  <xdr:twoCellAnchor editAs="oneCell">
    <xdr:from>
      <xdr:col>0</xdr:col>
      <xdr:colOff>65483</xdr:colOff>
      <xdr:row>2</xdr:row>
      <xdr:rowOff>220265</xdr:rowOff>
    </xdr:from>
    <xdr:to>
      <xdr:col>0</xdr:col>
      <xdr:colOff>660796</xdr:colOff>
      <xdr:row>14</xdr:row>
      <xdr:rowOff>77390</xdr:rowOff>
    </xdr:to>
    <mc:AlternateContent xmlns:mc="http://schemas.openxmlformats.org/markup-compatibility/2006" xmlns:a14="http://schemas.microsoft.com/office/drawing/2010/main">
      <mc:Choice Requires="a14">
        <xdr:graphicFrame macro="">
          <xdr:nvGraphicFramePr>
            <xdr:cNvPr id="46" name="Date (Month)">
              <a:extLst>
                <a:ext uri="{FF2B5EF4-FFF2-40B4-BE49-F238E27FC236}">
                  <a16:creationId xmlns:a16="http://schemas.microsoft.com/office/drawing/2014/main" id="{9A6A276B-1EF9-4821-BB94-725DD74CD96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5483" y="696515"/>
              <a:ext cx="595313"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738187</xdr:colOff>
      <xdr:row>3</xdr:row>
      <xdr:rowOff>107156</xdr:rowOff>
    </xdr:from>
    <xdr:to>
      <xdr:col>2</xdr:col>
      <xdr:colOff>488156</xdr:colOff>
      <xdr:row>6</xdr:row>
      <xdr:rowOff>35719</xdr:rowOff>
    </xdr:to>
    <xdr:graphicFrame macro="">
      <xdr:nvGraphicFramePr>
        <xdr:cNvPr id="48" name="Chart 47">
          <a:hlinkClick xmlns:r="http://schemas.openxmlformats.org/officeDocument/2006/relationships" r:id="rId8"/>
          <a:extLst>
            <a:ext uri="{FF2B5EF4-FFF2-40B4-BE49-F238E27FC236}">
              <a16:creationId xmlns:a16="http://schemas.microsoft.com/office/drawing/2014/main" id="{2C0986D0-DBBD-48EC-ADD0-DE6E002EF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529828</xdr:colOff>
      <xdr:row>4</xdr:row>
      <xdr:rowOff>5951</xdr:rowOff>
    </xdr:from>
    <xdr:to>
      <xdr:col>4</xdr:col>
      <xdr:colOff>273842</xdr:colOff>
      <xdr:row>6</xdr:row>
      <xdr:rowOff>35718</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AB681FE1-6CA2-414B-9FCD-56367A0DF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196455</xdr:colOff>
      <xdr:row>3</xdr:row>
      <xdr:rowOff>101203</xdr:rowOff>
    </xdr:from>
    <xdr:to>
      <xdr:col>6</xdr:col>
      <xdr:colOff>101203</xdr:colOff>
      <xdr:row>6</xdr:row>
      <xdr:rowOff>47625</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CB62CD2B-4477-4F5F-9EDB-EB6D9925E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756047</xdr:colOff>
          <xdr:row>6</xdr:row>
          <xdr:rowOff>53578</xdr:rowOff>
        </xdr:from>
        <xdr:to>
          <xdr:col>6</xdr:col>
          <xdr:colOff>101203</xdr:colOff>
          <xdr:row>8</xdr:row>
          <xdr:rowOff>190500</xdr:rowOff>
        </xdr:to>
        <xdr:pic>
          <xdr:nvPicPr>
            <xdr:cNvPr id="53" name="Picture 52">
              <a:extLst>
                <a:ext uri="{FF2B5EF4-FFF2-40B4-BE49-F238E27FC236}">
                  <a16:creationId xmlns:a16="http://schemas.microsoft.com/office/drawing/2014/main" id="{AD22EE6B-EFD7-10E3-8DDE-4EA94C62E120}"/>
                </a:ext>
              </a:extLst>
            </xdr:cNvPr>
            <xdr:cNvPicPr>
              <a:picLocks noChangeAspect="1" noChangeArrowheads="1"/>
              <a:extLst>
                <a:ext uri="{84589F7E-364E-4C9E-8A38-B11213B215E9}">
                  <a14:cameraTool cellRange="'Pivot Report'!$A$41:$D$43" spid="_x0000_s2071"/>
                </a:ext>
              </a:extLst>
            </xdr:cNvPicPr>
          </xdr:nvPicPr>
          <xdr:blipFill>
            <a:blip xmlns:r="http://schemas.openxmlformats.org/officeDocument/2006/relationships" r:embed="rId14"/>
            <a:srcRect/>
            <a:stretch>
              <a:fillRect/>
            </a:stretch>
          </xdr:blipFill>
          <xdr:spPr bwMode="auto">
            <a:xfrm>
              <a:off x="756047" y="1482328"/>
              <a:ext cx="4381500" cy="6131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750094</xdr:colOff>
      <xdr:row>9</xdr:row>
      <xdr:rowOff>0</xdr:rowOff>
    </xdr:from>
    <xdr:to>
      <xdr:col>6</xdr:col>
      <xdr:colOff>83343</xdr:colOff>
      <xdr:row>14</xdr:row>
      <xdr:rowOff>77391</xdr:rowOff>
    </xdr:to>
    <xdr:graphicFrame macro="">
      <xdr:nvGraphicFramePr>
        <xdr:cNvPr id="54" name="Chart 53">
          <a:extLst>
            <a:ext uri="{FF2B5EF4-FFF2-40B4-BE49-F238E27FC236}">
              <a16:creationId xmlns:a16="http://schemas.microsoft.com/office/drawing/2014/main" id="{CEA8D6AA-7CA0-49DB-9546-0423563D6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xdr:col>
      <xdr:colOff>735804</xdr:colOff>
      <xdr:row>13</xdr:row>
      <xdr:rowOff>166688</xdr:rowOff>
    </xdr:from>
    <xdr:to>
      <xdr:col>4</xdr:col>
      <xdr:colOff>708422</xdr:colOff>
      <xdr:row>14</xdr:row>
      <xdr:rowOff>101204</xdr:rowOff>
    </xdr:to>
    <xdr:sp macro="" textlink="">
      <xdr:nvSpPr>
        <xdr:cNvPr id="55" name="TextBox 54">
          <a:extLst>
            <a:ext uri="{FF2B5EF4-FFF2-40B4-BE49-F238E27FC236}">
              <a16:creationId xmlns:a16="http://schemas.microsoft.com/office/drawing/2014/main" id="{D9D64FCE-7ACA-DCC2-741B-A7C83D172E65}"/>
            </a:ext>
          </a:extLst>
        </xdr:cNvPr>
        <xdr:cNvSpPr txBox="1"/>
      </xdr:nvSpPr>
      <xdr:spPr>
        <a:xfrm>
          <a:off x="1575195" y="3262313"/>
          <a:ext cx="2490790" cy="172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No. of Patients by Age Group</a:t>
          </a:r>
        </a:p>
      </xdr:txBody>
    </xdr:sp>
    <xdr:clientData/>
  </xdr:twoCellAnchor>
  <xdr:twoCellAnchor>
    <xdr:from>
      <xdr:col>5</xdr:col>
      <xdr:colOff>827484</xdr:colOff>
      <xdr:row>0</xdr:row>
      <xdr:rowOff>35719</xdr:rowOff>
    </xdr:from>
    <xdr:to>
      <xdr:col>8</xdr:col>
      <xdr:colOff>196453</xdr:colOff>
      <xdr:row>6</xdr:row>
      <xdr:rowOff>184547</xdr:rowOff>
    </xdr:to>
    <xdr:graphicFrame macro="">
      <xdr:nvGraphicFramePr>
        <xdr:cNvPr id="56" name="Chart 55">
          <a:extLst>
            <a:ext uri="{FF2B5EF4-FFF2-40B4-BE49-F238E27FC236}">
              <a16:creationId xmlns:a16="http://schemas.microsoft.com/office/drawing/2014/main" id="{E0FD5AED-42B8-4DDB-AD0F-AC1F274BF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166688</xdr:colOff>
      <xdr:row>5</xdr:row>
      <xdr:rowOff>208357</xdr:rowOff>
    </xdr:from>
    <xdr:to>
      <xdr:col>8</xdr:col>
      <xdr:colOff>136923</xdr:colOff>
      <xdr:row>6</xdr:row>
      <xdr:rowOff>184545</xdr:rowOff>
    </xdr:to>
    <xdr:sp macro="" textlink="">
      <xdr:nvSpPr>
        <xdr:cNvPr id="6" name="TextBox 5">
          <a:extLst>
            <a:ext uri="{FF2B5EF4-FFF2-40B4-BE49-F238E27FC236}">
              <a16:creationId xmlns:a16="http://schemas.microsoft.com/office/drawing/2014/main" id="{36111FD9-1F1D-6590-F6B9-2960AFF8CA45}"/>
            </a:ext>
          </a:extLst>
        </xdr:cNvPr>
        <xdr:cNvSpPr txBox="1"/>
      </xdr:nvSpPr>
      <xdr:spPr>
        <a:xfrm>
          <a:off x="5203032" y="1398982"/>
          <a:ext cx="1649016"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Patients Attended Status Within Time</a:t>
          </a:r>
        </a:p>
      </xdr:txBody>
    </xdr:sp>
    <xdr:clientData/>
  </xdr:twoCellAnchor>
  <xdr:twoCellAnchor>
    <xdr:from>
      <xdr:col>8</xdr:col>
      <xdr:colOff>178595</xdr:colOff>
      <xdr:row>0</xdr:row>
      <xdr:rowOff>53578</xdr:rowOff>
    </xdr:from>
    <xdr:to>
      <xdr:col>10</xdr:col>
      <xdr:colOff>148828</xdr:colOff>
      <xdr:row>6</xdr:row>
      <xdr:rowOff>154781</xdr:rowOff>
    </xdr:to>
    <xdr:graphicFrame macro="">
      <xdr:nvGraphicFramePr>
        <xdr:cNvPr id="7" name="Chart 6">
          <a:extLst>
            <a:ext uri="{FF2B5EF4-FFF2-40B4-BE49-F238E27FC236}">
              <a16:creationId xmlns:a16="http://schemas.microsoft.com/office/drawing/2014/main" id="{DFC37E85-D5EC-4035-8D29-2E2D47F5F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232172</xdr:colOff>
      <xdr:row>5</xdr:row>
      <xdr:rowOff>208357</xdr:rowOff>
    </xdr:from>
    <xdr:to>
      <xdr:col>10</xdr:col>
      <xdr:colOff>125016</xdr:colOff>
      <xdr:row>6</xdr:row>
      <xdr:rowOff>184545</xdr:rowOff>
    </xdr:to>
    <xdr:sp macro="" textlink="">
      <xdr:nvSpPr>
        <xdr:cNvPr id="10" name="TextBox 9">
          <a:extLst>
            <a:ext uri="{FF2B5EF4-FFF2-40B4-BE49-F238E27FC236}">
              <a16:creationId xmlns:a16="http://schemas.microsoft.com/office/drawing/2014/main" id="{783ED992-2BD0-1526-8E38-E2536A24B66F}"/>
            </a:ext>
          </a:extLst>
        </xdr:cNvPr>
        <xdr:cNvSpPr txBox="1"/>
      </xdr:nvSpPr>
      <xdr:spPr>
        <a:xfrm>
          <a:off x="6947297" y="1398982"/>
          <a:ext cx="1571625"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Number</a:t>
          </a:r>
          <a:r>
            <a:rPr lang="en-IN" sz="800" b="1" baseline="0"/>
            <a:t> of Patients by Gender</a:t>
          </a:r>
          <a:endParaRPr lang="en-IN" sz="800" b="1"/>
        </a:p>
      </xdr:txBody>
    </xdr:sp>
    <xdr:clientData/>
  </xdr:twoCellAnchor>
  <xdr:twoCellAnchor>
    <xdr:from>
      <xdr:col>6</xdr:col>
      <xdr:colOff>166687</xdr:colOff>
      <xdr:row>6</xdr:row>
      <xdr:rowOff>202406</xdr:rowOff>
    </xdr:from>
    <xdr:to>
      <xdr:col>10</xdr:col>
      <xdr:colOff>142875</xdr:colOff>
      <xdr:row>14</xdr:row>
      <xdr:rowOff>89297</xdr:rowOff>
    </xdr:to>
    <xdr:graphicFrame macro="">
      <xdr:nvGraphicFramePr>
        <xdr:cNvPr id="14" name="Chart 13">
          <a:extLst>
            <a:ext uri="{FF2B5EF4-FFF2-40B4-BE49-F238E27FC236}">
              <a16:creationId xmlns:a16="http://schemas.microsoft.com/office/drawing/2014/main" id="{9BAAE509-8D6F-46DC-A788-D0838F55D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6</xdr:col>
      <xdr:colOff>672704</xdr:colOff>
      <xdr:row>13</xdr:row>
      <xdr:rowOff>130968</xdr:rowOff>
    </xdr:from>
    <xdr:to>
      <xdr:col>9</xdr:col>
      <xdr:colOff>500063</xdr:colOff>
      <xdr:row>14</xdr:row>
      <xdr:rowOff>113110</xdr:rowOff>
    </xdr:to>
    <xdr:sp macro="" textlink="">
      <xdr:nvSpPr>
        <xdr:cNvPr id="16" name="TextBox 15">
          <a:extLst>
            <a:ext uri="{FF2B5EF4-FFF2-40B4-BE49-F238E27FC236}">
              <a16:creationId xmlns:a16="http://schemas.microsoft.com/office/drawing/2014/main" id="{BE46D67A-A357-5C9B-35EC-14BA6DFB9512}"/>
            </a:ext>
          </a:extLst>
        </xdr:cNvPr>
        <xdr:cNvSpPr txBox="1"/>
      </xdr:nvSpPr>
      <xdr:spPr>
        <a:xfrm>
          <a:off x="5709048" y="3226593"/>
          <a:ext cx="2345531" cy="220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Number</a:t>
          </a:r>
          <a:r>
            <a:rPr lang="en-IN" sz="800" b="1" baseline="0"/>
            <a:t> of Patients by Department Referral</a:t>
          </a:r>
          <a:endParaRPr lang="en-IN" sz="800" b="1"/>
        </a:p>
      </xdr:txBody>
    </xdr:sp>
    <xdr:clientData/>
  </xdr:twoCellAnchor>
  <xdr:twoCellAnchor editAs="oneCell">
    <xdr:from>
      <xdr:col>4</xdr:col>
      <xdr:colOff>392904</xdr:colOff>
      <xdr:row>1</xdr:row>
      <xdr:rowOff>5953</xdr:rowOff>
    </xdr:from>
    <xdr:to>
      <xdr:col>6</xdr:col>
      <xdr:colOff>46123</xdr:colOff>
      <xdr:row>2</xdr:row>
      <xdr:rowOff>101203</xdr:rowOff>
    </xdr:to>
    <mc:AlternateContent xmlns:mc="http://schemas.openxmlformats.org/markup-compatibility/2006" xmlns:a14="http://schemas.microsoft.com/office/drawing/2010/main">
      <mc:Choice Requires="a14">
        <xdr:graphicFrame macro="">
          <xdr:nvGraphicFramePr>
            <xdr:cNvPr id="17" name="Date (Year)">
              <a:extLst>
                <a:ext uri="{FF2B5EF4-FFF2-40B4-BE49-F238E27FC236}">
                  <a16:creationId xmlns:a16="http://schemas.microsoft.com/office/drawing/2014/main" id="{1082DDCB-879F-40B0-8D9D-37280B466FC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50467" y="244078"/>
              <a:ext cx="1332000" cy="333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529828</xdr:colOff>
      <xdr:row>0</xdr:row>
      <xdr:rowOff>71438</xdr:rowOff>
    </xdr:from>
    <xdr:to>
      <xdr:col>5</xdr:col>
      <xdr:colOff>672703</xdr:colOff>
      <xdr:row>1</xdr:row>
      <xdr:rowOff>11905</xdr:rowOff>
    </xdr:to>
    <xdr:sp macro="" textlink="">
      <xdr:nvSpPr>
        <xdr:cNvPr id="19" name="TextBox 18">
          <a:extLst>
            <a:ext uri="{FF2B5EF4-FFF2-40B4-BE49-F238E27FC236}">
              <a16:creationId xmlns:a16="http://schemas.microsoft.com/office/drawing/2014/main" id="{EC8A3E0D-BD72-7D02-C3A0-AAE05CAB059B}"/>
            </a:ext>
          </a:extLst>
        </xdr:cNvPr>
        <xdr:cNvSpPr txBox="1"/>
      </xdr:nvSpPr>
      <xdr:spPr>
        <a:xfrm>
          <a:off x="3887391" y="71438"/>
          <a:ext cx="982265" cy="17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Select Year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xdr:rowOff>
    </xdr:from>
    <xdr:to>
      <xdr:col>11</xdr:col>
      <xdr:colOff>828675</xdr:colOff>
      <xdr:row>20</xdr:row>
      <xdr:rowOff>0</xdr:rowOff>
    </xdr:to>
    <xdr:graphicFrame macro="">
      <xdr:nvGraphicFramePr>
        <xdr:cNvPr id="2" name="Chart 1">
          <a:extLst>
            <a:ext uri="{FF2B5EF4-FFF2-40B4-BE49-F238E27FC236}">
              <a16:creationId xmlns:a16="http://schemas.microsoft.com/office/drawing/2014/main" id="{AB4F0453-4E7A-46C3-9650-F04B94FCA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0.00406</cdr:x>
      <cdr:y>0</cdr:y>
    </cdr:from>
    <cdr:to>
      <cdr:x>0.08808</cdr:x>
      <cdr:y>0.19628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E5FA5FE-F6B7-21F7-4BDF-EB88D23B53F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0797" y="0"/>
          <a:ext cx="844356" cy="93293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9524</xdr:colOff>
      <xdr:row>20</xdr:row>
      <xdr:rowOff>28575</xdr:rowOff>
    </xdr:to>
    <xdr:graphicFrame macro="">
      <xdr:nvGraphicFramePr>
        <xdr:cNvPr id="2" name="Chart 1">
          <a:extLst>
            <a:ext uri="{FF2B5EF4-FFF2-40B4-BE49-F238E27FC236}">
              <a16:creationId xmlns:a16="http://schemas.microsoft.com/office/drawing/2014/main" id="{B8B7E541-1554-4B72-B923-A727944C1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0.00707</cdr:x>
      <cdr:y>0.00066</cdr:y>
    </cdr:from>
    <cdr:to>
      <cdr:x>0.07417</cdr:x>
      <cdr:y>0.19539</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F2C17BC-0196-6A1F-CF5D-283C489D82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8900" y="3175"/>
          <a:ext cx="844356" cy="93293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13</xdr:col>
      <xdr:colOff>819150</xdr:colOff>
      <xdr:row>23</xdr:row>
      <xdr:rowOff>28575</xdr:rowOff>
    </xdr:to>
    <xdr:graphicFrame macro="">
      <xdr:nvGraphicFramePr>
        <xdr:cNvPr id="2" name="Chart 1">
          <a:extLst>
            <a:ext uri="{FF2B5EF4-FFF2-40B4-BE49-F238E27FC236}">
              <a16:creationId xmlns:a16="http://schemas.microsoft.com/office/drawing/2014/main" id="{154106C0-6CFF-4424-AA44-2BB1D4E19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0.00515</cdr:x>
      <cdr:y>0</cdr:y>
    </cdr:from>
    <cdr:to>
      <cdr:x>0.07722</cdr:x>
      <cdr:y>0.16975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422BF94-EE58-9C4D-A58A-E8F29D9708E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325" y="0"/>
          <a:ext cx="844356" cy="93293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2384261" createdVersion="5" refreshedVersion="8" minRefreshableVersion="3" recordCount="0" supportSubquery="1" supportAdvancedDrill="1" xr:uid="{4B812E2D-14D0-4AE8-97CF-39319039A002}">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2731485" createdVersion="5" refreshedVersion="8" minRefreshableVersion="3" recordCount="0" supportSubquery="1" supportAdvancedDrill="1" xr:uid="{A985B846-43BE-400A-B5D4-96EB6FAADD2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3425924" createdVersion="5" refreshedVersion="8" minRefreshableVersion="3" recordCount="0" supportSubquery="1" supportAdvancedDrill="1" xr:uid="{9F672E03-6AFD-4EF8-9D54-E93C2E9787F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4236109" createdVersion="5" refreshedVersion="8" minRefreshableVersion="3" recordCount="0" supportSubquery="1" supportAdvancedDrill="1" xr:uid="{0E9272E4-8369-4A4F-B9B1-A6A9DEEFF955}">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516204" createdVersion="5" refreshedVersion="8" minRefreshableVersion="3" recordCount="0" supportSubquery="1" supportAdvancedDrill="1" xr:uid="{F9FA7474-7F7F-4431-8237-15168138B10B}">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69560182" createdVersion="5" refreshedVersion="8" minRefreshableVersion="3" recordCount="0" supportSubquery="1" supportAdvancedDrill="1" xr:uid="{A2367D3B-894F-4BF6-979E-684F2DC8560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7013889" createdVersion="5" refreshedVersion="8" minRefreshableVersion="3" recordCount="0" supportSubquery="1" supportAdvancedDrill="1" xr:uid="{A15E930B-997B-428E-AC43-417157D39863}">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71412037" createdVersion="5" refreshedVersion="8" minRefreshableVersion="3" recordCount="0" supportSubquery="1" supportAdvancedDrill="1" xr:uid="{D49B6495-AC8F-4FCB-A20B-B7582123DCFD}">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73726854" createdVersion="5" refreshedVersion="8" minRefreshableVersion="3" recordCount="0" supportSubquery="1" supportAdvancedDrill="1" xr:uid="{18709AF6-B76B-4731-BD16-4C4E2CA252E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76851848" createdVersion="5" refreshedVersion="8" minRefreshableVersion="3" recordCount="0" supportSubquery="1" supportAdvancedDrill="1" xr:uid="{8DB5221C-759B-4212-9EBB-2F28DDC943B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77777779" createdVersion="5" refreshedVersion="8" minRefreshableVersion="3" recordCount="0" supportSubquery="1" supportAdvancedDrill="1" xr:uid="{7AA44A56-433D-43E0-8E04-7B5A0B99DA9D}">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76580439812" createdVersion="5" refreshedVersion="8" minRefreshableVersion="3" recordCount="0" supportSubquery="1" supportAdvancedDrill="1" xr:uid="{A4A6CADE-AB3C-4E4A-82F3-4BAF68A9FD7A}">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316.963627777775" createdVersion="3" refreshedVersion="8" minRefreshableVersion="3" recordCount="0" supportSubquery="1" supportAdvancedDrill="1" xr:uid="{2A96C034-FCEB-410A-9737-45CDFF3C9A4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906534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063BE-4CF1-4E31-8D5E-D5313B14D935}" name="PivotTable12" cacheId="45" applyNumberFormats="0" applyBorderFormats="0" applyFontFormats="0" applyPatternFormats="0" applyAlignmentFormats="0" applyWidthHeightFormats="1" dataCaption="Values" tag="25e6c1e3-7a7e-4752-a5d3-de9a591bb668" updatedVersion="8" minRefreshableVersion="3" itemPrintTitles="1" createdVersion="5" indent="0" outline="1" outlineData="1" multipleFieldFilters="0" chartFormat="30">
  <location ref="G47:H5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0">
      <pivotArea grandRow="1" outline="0" collapsedLevelsAreSubtotals="1" fieldPosition="0"/>
    </format>
    <format dxfId="19">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E59AB-CDEF-41CA-938C-974F6C03B8FE}" name="PivotTable5" cacheId="27" applyNumberFormats="0" applyBorderFormats="0" applyFontFormats="0" applyPatternFormats="0" applyAlignmentFormats="0" applyWidthHeightFormats="1" dataCaption="Values" tag="069df014-d311-45f4-939d-6c5542d28681" updatedVersion="8" minRefreshableVersion="3" itemPrintTitles="1" createdVersion="5" indent="0" outline="1" outlineData="1" multipleFieldFilters="0" chartFormat="20">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 time" fld="2" subtotal="average" baseField="0" baseItem="0" numFmtId="2"/>
  </dataFields>
  <formats count="1">
    <format dxfId="21">
      <pivotArea outline="0" collapsedLevelsAreSubtotals="1" fieldPosition="0"/>
    </format>
  </formats>
  <chartFormats count="4">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Patient Wait time"/>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70FF7-FBED-49D4-87C7-B0B25575E263}" name="PivotTable10" cacheId="42" applyNumberFormats="0" applyBorderFormats="0" applyFontFormats="0" applyPatternFormats="0" applyAlignmentFormats="0" applyWidthHeightFormats="1" dataCaption="Values" tag="25e6c1e3-7a7e-4752-a5d3-de9a591bb668" updatedVersion="8" minRefreshableVersion="3" itemPrintTitles="1" createdVersion="5" indent="0" outline="1" outlineData="1" multipleFieldFilters="0" chartFormat="23">
  <location ref="D54:E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3">
      <pivotArea grandRow="1" outline="0" collapsedLevelsAreSubtotals="1" fieldPosition="0"/>
    </format>
    <format dxfId="22">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30ACCB-CC7B-4101-951B-40370384F777}" name="PivotTable3" cacheId="24" applyNumberFormats="0" applyBorderFormats="0" applyFontFormats="0" applyPatternFormats="0" applyAlignmentFormats="0" applyWidthHeightFormats="1" dataCaption="Values" tag="fd731b02-24a6-4ff8-b9e0-7216fdfaacf0"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6B229-0BB7-48E6-838E-E61C69A78425}" name="PivotTable4" cacheId="15" applyNumberFormats="0" applyBorderFormats="0" applyFontFormats="0" applyPatternFormats="0" applyAlignmentFormats="0" applyWidthHeightFormats="1" dataCaption="Values" tag="9f4ca0bf-1191-40f3-b978-2f156614f556" updatedVersion="8" minRefreshableVersion="3" itemPrintTitles="1" createdVersion="5" indent="0" outline="1" outlineData="1" multipleFieldFilters="0" chartFormat="12">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0A2F43-6E9F-40AB-B7A7-4E0D31FFB3EE}" name="PivotTable1" cacheId="18" applyNumberFormats="0" applyBorderFormats="0" applyFontFormats="0" applyPatternFormats="0" applyAlignmentFormats="0" applyWidthHeightFormats="1" dataCaption="Values" tag="f453aebe-bdc1-49c3-8bcc-096b75f48e48"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1BED3-E70F-4522-9659-853E29310012}" name="PivotTable7" cacheId="33" applyNumberFormats="0" applyBorderFormats="0" applyFontFormats="0" applyPatternFormats="0" applyAlignmentFormats="0" applyWidthHeightFormats="1" dataCaption="Values" tag="041969eb-e862-4fc4-bba3-341138ae4999" updatedVersion="8" minRefreshableVersion="3" itemPrintTitles="1" createdVersion="5" indent="0" outline="1" outlineData="1" multipleFieldFilters="0" chartFormat="7">
  <location ref="A17:C2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28">
      <pivotArea outline="0" collapsedLevelsAreSubtotals="1" fieldPosition="0"/>
    </format>
    <format dxfId="27">
      <pivotArea collapsedLevelsAreSubtotals="1" fieldPosition="0">
        <references count="1">
          <reference field="2" count="0"/>
        </references>
      </pivotArea>
    </format>
    <format dxfId="26">
      <pivotArea outline="0" fieldPosition="0">
        <references count="1">
          <reference field="4294967294" count="1">
            <x v="1"/>
          </reference>
        </references>
      </pivotArea>
    </format>
    <format dxfId="25">
      <pivotArea field="2"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C06D1-EBA7-4854-84C5-E7041BFCD853}" name="PivotTable6" cacheId="30" applyNumberFormats="0" applyBorderFormats="0" applyFontFormats="0" applyPatternFormats="0" applyAlignmentFormats="0" applyWidthHeightFormats="1" dataCaption="Values" tag="03752082-d6ed-4f8c-acca-86d9f11bc178" updatedVersion="8" minRefreshableVersion="3" itemPrintTitles="1" createdVersion="5" indent="0" outline="1" outlineData="1" multipleFieldFilters="0" chartFormat="28">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9">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caption="Sum of Patient Wait time"/>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BAA45C-5BA5-4E2F-B653-2DB7CB3D19B6}" name="PivotTable13" cacheId="48" applyNumberFormats="0" applyBorderFormats="0" applyFontFormats="0" applyPatternFormats="0" applyAlignmentFormats="0" applyWidthHeightFormats="1" dataCaption="Values" tag="25e6c1e3-7a7e-4752-a5d3-de9a591bb668" updatedVersion="8" minRefreshableVersion="3" itemPrintTitles="1" createdVersion="5" indent="0" outline="1" outlineData="1" multipleFieldFilters="0" chartFormat="30">
  <location ref="A61:A6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31">
      <pivotArea grandRow="1" outline="0" collapsedLevelsAreSubtotals="1" fieldPosition="0"/>
    </format>
    <format dxfId="3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C4A28-EFC4-4359-95A9-E1CF414785FC}" name="PivotTable8" cacheId="36" applyNumberFormats="0" applyBorderFormats="0" applyFontFormats="0" applyPatternFormats="0" applyAlignmentFormats="0" applyWidthHeightFormats="1" dataCaption="Values" tag="f527b2ff-77a9-4e04-8470-bd13afdb522c" updatedVersion="8" minRefreshableVersion="3" itemPrintTitles="1" createdVersion="5" indent="0" outline="1" outlineData="1" multipleFieldFilters="0" chartFormat="11">
  <location ref="A47:B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34">
      <pivotArea outline="0" collapsedLevelsAreSubtotals="1" fieldPosition="0"/>
    </format>
    <format dxfId="33">
      <pivotArea collapsedLevelsAreSubtotals="1" fieldPosition="0">
        <references count="1">
          <reference field="2" count="0"/>
        </references>
      </pivotArea>
    </format>
    <format dxfId="32">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75361E-6FEC-4F13-A14C-04A1393C6638}" name="PivotTable9" cacheId="39" applyNumberFormats="0" applyBorderFormats="0" applyFontFormats="0" applyPatternFormats="0" applyAlignmentFormats="0" applyWidthHeightFormats="1" dataCaption="Values" tag="25e6c1e3-7a7e-4752-a5d3-de9a591bb668" updatedVersion="8" minRefreshableVersion="3" itemPrintTitles="1" createdVersion="5" indent="0" outline="1" outlineData="1" multipleFieldFilters="0" chartFormat="17">
  <location ref="D47:E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2">
    <format dxfId="36">
      <pivotArea grandRow="1" outline="0" collapsedLevelsAreSubtotals="1" fieldPosition="0"/>
    </format>
    <format dxfId="35">
      <pivotArea outline="0" collapsedLevelsAreSubtotals="1" fieldPosition="0"/>
    </format>
  </formats>
  <chartFormats count="10">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6D938F-2778-48EC-A855-2514418AAEF6}" name="PivotTable2" cacheId="21" applyNumberFormats="0" applyBorderFormats="0" applyFontFormats="0" applyPatternFormats="0" applyAlignmentFormats="0" applyWidthHeightFormats="1" dataCaption="Values" tag="2de0080a-a432-4bbc-8231-5fc3de28aa46"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37">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A6260CB-8937-49FA-8882-02B83AF6C60E}"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2"/>
    <pivotTable tabId="1" name="PivotTable13"/>
  </pivotTables>
  <data>
    <olap pivotCacheId="99065347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02BFDA3-5CDF-4913-B055-E9EB06C2852E}" sourceName="[Calendar_Tabl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9065347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8A63FDB-60DA-43A1-A12A-BB0D16AE11E4}" cache="Slicer_Date__Month" caption="Date (Month)" showCaption="0" level="1" style="My Style" rowHeight="183600"/>
  <slicer name="Date (Year)" xr10:uid="{4D61D6D1-CC14-4CCA-BAE5-66F286910D7F}" cache="Slicer_Date__Year" caption="Date (Year)" columnCount="2" showCaption="0" level="1" style="My Style" rowHeight="16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F4D3-2BE8-4203-924E-8778DA2E2954}">
  <dimension ref="A3:M63"/>
  <sheetViews>
    <sheetView topLeftCell="A41" workbookViewId="0">
      <selection activeCell="B42" sqref="B42"/>
    </sheetView>
  </sheetViews>
  <sheetFormatPr defaultRowHeight="18.75" x14ac:dyDescent="0.3"/>
  <cols>
    <col min="1" max="1" width="13.796875" customWidth="1"/>
    <col min="2" max="2" width="13.59765625" customWidth="1"/>
    <col min="3" max="3" width="12.69921875" customWidth="1"/>
    <col min="4" max="4" width="14.3984375" customWidth="1"/>
    <col min="6" max="6" width="23.5" bestFit="1" customWidth="1"/>
    <col min="7" max="7" width="22.09765625" bestFit="1" customWidth="1"/>
    <col min="9" max="9" width="14.796875" bestFit="1" customWidth="1"/>
    <col min="10" max="10" width="22.09765625" bestFit="1" customWidth="1"/>
    <col min="12" max="12" width="25.8984375" bestFit="1" customWidth="1"/>
    <col min="13" max="13" width="30" bestFit="1" customWidth="1"/>
  </cols>
  <sheetData>
    <row r="3" spans="1:13" x14ac:dyDescent="0.3">
      <c r="A3" t="s">
        <v>1</v>
      </c>
      <c r="F3" t="s">
        <v>5</v>
      </c>
      <c r="I3" t="s">
        <v>6</v>
      </c>
      <c r="L3" t="s">
        <v>8</v>
      </c>
    </row>
    <row r="4" spans="1:13" x14ac:dyDescent="0.3">
      <c r="A4" t="s">
        <v>0</v>
      </c>
      <c r="F4" s="1" t="s">
        <v>3</v>
      </c>
      <c r="G4" t="s">
        <v>0</v>
      </c>
      <c r="I4" s="1" t="s">
        <v>3</v>
      </c>
      <c r="J4" t="s">
        <v>7</v>
      </c>
      <c r="L4" s="1" t="s">
        <v>3</v>
      </c>
      <c r="M4" t="s">
        <v>2</v>
      </c>
    </row>
    <row r="5" spans="1:13" x14ac:dyDescent="0.3">
      <c r="A5" s="16">
        <v>513</v>
      </c>
      <c r="F5" s="4" t="s">
        <v>44</v>
      </c>
      <c r="G5" s="16">
        <v>19</v>
      </c>
      <c r="I5" s="4" t="s">
        <v>44</v>
      </c>
      <c r="J5" s="2">
        <v>37.789473684210527</v>
      </c>
      <c r="L5" s="4" t="s">
        <v>44</v>
      </c>
      <c r="M5" s="2">
        <v>6.666666666666667</v>
      </c>
    </row>
    <row r="6" spans="1:13" x14ac:dyDescent="0.3">
      <c r="F6" s="4" t="s">
        <v>45</v>
      </c>
      <c r="G6" s="16">
        <v>14</v>
      </c>
      <c r="I6" s="4" t="s">
        <v>45</v>
      </c>
      <c r="J6" s="2">
        <v>38.214285714285715</v>
      </c>
      <c r="L6" s="4" t="s">
        <v>45</v>
      </c>
      <c r="M6" s="2">
        <v>3.5</v>
      </c>
    </row>
    <row r="7" spans="1:13" x14ac:dyDescent="0.3">
      <c r="F7" s="4" t="s">
        <v>46</v>
      </c>
      <c r="G7" s="16">
        <v>13</v>
      </c>
      <c r="I7" s="4" t="s">
        <v>46</v>
      </c>
      <c r="J7" s="2">
        <v>40.92307692307692</v>
      </c>
      <c r="L7" s="4" t="s">
        <v>46</v>
      </c>
      <c r="M7" s="2">
        <v>4.5</v>
      </c>
    </row>
    <row r="8" spans="1:13" x14ac:dyDescent="0.3">
      <c r="F8" s="4" t="s">
        <v>47</v>
      </c>
      <c r="G8" s="16">
        <v>22</v>
      </c>
      <c r="I8" s="4" t="s">
        <v>47</v>
      </c>
      <c r="J8" s="2">
        <v>34.5</v>
      </c>
      <c r="L8" s="4" t="s">
        <v>47</v>
      </c>
      <c r="M8" s="2">
        <v>4.8</v>
      </c>
    </row>
    <row r="9" spans="1:13" x14ac:dyDescent="0.3">
      <c r="A9" t="s">
        <v>7</v>
      </c>
      <c r="F9" s="4" t="s">
        <v>48</v>
      </c>
      <c r="G9" s="16">
        <v>19</v>
      </c>
      <c r="I9" s="4" t="s">
        <v>48</v>
      </c>
      <c r="J9" s="2">
        <v>30.684210526315791</v>
      </c>
      <c r="L9" s="4" t="s">
        <v>48</v>
      </c>
      <c r="M9" s="2">
        <v>7.75</v>
      </c>
    </row>
    <row r="10" spans="1:13" x14ac:dyDescent="0.3">
      <c r="A10" s="2">
        <v>36.323586744639378</v>
      </c>
      <c r="F10" s="4" t="s">
        <v>49</v>
      </c>
      <c r="G10" s="16">
        <v>15</v>
      </c>
      <c r="I10" s="4" t="s">
        <v>49</v>
      </c>
      <c r="J10" s="2">
        <v>37.666666666666664</v>
      </c>
      <c r="L10" s="4" t="s">
        <v>49</v>
      </c>
      <c r="M10" s="2">
        <v>6.2</v>
      </c>
    </row>
    <row r="11" spans="1:13" x14ac:dyDescent="0.3">
      <c r="F11" s="4" t="s">
        <v>50</v>
      </c>
      <c r="G11" s="16">
        <v>12</v>
      </c>
      <c r="I11" s="4" t="s">
        <v>50</v>
      </c>
      <c r="J11" s="2">
        <v>36.083333333333336</v>
      </c>
      <c r="L11" s="4" t="s">
        <v>50</v>
      </c>
      <c r="M11" s="2">
        <v>3.75</v>
      </c>
    </row>
    <row r="12" spans="1:13" x14ac:dyDescent="0.3">
      <c r="F12" s="4" t="s">
        <v>51</v>
      </c>
      <c r="G12" s="16">
        <v>21</v>
      </c>
      <c r="I12" s="4" t="s">
        <v>51</v>
      </c>
      <c r="J12" s="2">
        <v>43.523809523809526</v>
      </c>
      <c r="L12" s="4" t="s">
        <v>51</v>
      </c>
      <c r="M12" s="2">
        <v>6.5</v>
      </c>
    </row>
    <row r="13" spans="1:13" x14ac:dyDescent="0.3">
      <c r="A13" t="s">
        <v>2</v>
      </c>
      <c r="F13" s="4" t="s">
        <v>52</v>
      </c>
      <c r="G13" s="16">
        <v>12</v>
      </c>
      <c r="I13" s="4" t="s">
        <v>52</v>
      </c>
      <c r="J13" s="2">
        <v>29.5</v>
      </c>
      <c r="L13" s="4" t="s">
        <v>52</v>
      </c>
      <c r="M13" s="2">
        <v>3</v>
      </c>
    </row>
    <row r="14" spans="1:13" x14ac:dyDescent="0.3">
      <c r="A14" s="2">
        <v>4.9591836734693882</v>
      </c>
      <c r="F14" s="4" t="s">
        <v>53</v>
      </c>
      <c r="G14" s="16">
        <v>13</v>
      </c>
      <c r="I14" s="4" t="s">
        <v>53</v>
      </c>
      <c r="J14" s="2">
        <v>38.07692307692308</v>
      </c>
      <c r="L14" s="4" t="s">
        <v>53</v>
      </c>
      <c r="M14" s="2">
        <v>4.5</v>
      </c>
    </row>
    <row r="15" spans="1:13" x14ac:dyDescent="0.3">
      <c r="F15" s="4" t="s">
        <v>54</v>
      </c>
      <c r="G15" s="16">
        <v>13</v>
      </c>
      <c r="I15" s="4" t="s">
        <v>54</v>
      </c>
      <c r="J15" s="2">
        <v>35.846153846153847</v>
      </c>
      <c r="L15" s="4" t="s">
        <v>54</v>
      </c>
      <c r="M15" s="2">
        <v>6</v>
      </c>
    </row>
    <row r="16" spans="1:13" x14ac:dyDescent="0.3">
      <c r="F16" s="4" t="s">
        <v>55</v>
      </c>
      <c r="G16" s="16">
        <v>16</v>
      </c>
      <c r="I16" s="4" t="s">
        <v>55</v>
      </c>
      <c r="J16" s="2">
        <v>32.625</v>
      </c>
      <c r="L16" s="4" t="s">
        <v>55</v>
      </c>
      <c r="M16" s="2">
        <v>5.2</v>
      </c>
    </row>
    <row r="17" spans="1:13" x14ac:dyDescent="0.3">
      <c r="A17" s="1" t="s">
        <v>3</v>
      </c>
      <c r="B17" t="s">
        <v>9</v>
      </c>
      <c r="C17" t="s">
        <v>12</v>
      </c>
      <c r="F17" s="4" t="s">
        <v>56</v>
      </c>
      <c r="G17" s="16">
        <v>20</v>
      </c>
      <c r="I17" s="4" t="s">
        <v>56</v>
      </c>
      <c r="J17" s="2">
        <v>39.200000000000003</v>
      </c>
      <c r="L17" s="4" t="s">
        <v>56</v>
      </c>
      <c r="M17" s="2">
        <v>4.4000000000000004</v>
      </c>
    </row>
    <row r="18" spans="1:13" x14ac:dyDescent="0.3">
      <c r="A18" s="4" t="s">
        <v>10</v>
      </c>
      <c r="B18" s="9">
        <v>269</v>
      </c>
      <c r="C18" s="10">
        <v>0.52436647173489281</v>
      </c>
      <c r="F18" s="4" t="s">
        <v>57</v>
      </c>
      <c r="G18" s="16">
        <v>25</v>
      </c>
      <c r="I18" s="4" t="s">
        <v>57</v>
      </c>
      <c r="J18" s="2">
        <v>35.28</v>
      </c>
      <c r="L18" s="4" t="s">
        <v>57</v>
      </c>
      <c r="M18" s="2">
        <v>3.4545454545454546</v>
      </c>
    </row>
    <row r="19" spans="1:13" x14ac:dyDescent="0.3">
      <c r="A19" s="4" t="s">
        <v>11</v>
      </c>
      <c r="B19" s="9">
        <v>244</v>
      </c>
      <c r="C19" s="10">
        <v>0.47563352826510719</v>
      </c>
      <c r="F19" s="4" t="s">
        <v>58</v>
      </c>
      <c r="G19" s="16">
        <v>20</v>
      </c>
      <c r="I19" s="4" t="s">
        <v>58</v>
      </c>
      <c r="J19" s="2">
        <v>32.549999999999997</v>
      </c>
      <c r="L19" s="4" t="s">
        <v>58</v>
      </c>
      <c r="M19" s="2">
        <v>4.4000000000000004</v>
      </c>
    </row>
    <row r="20" spans="1:13" x14ac:dyDescent="0.3">
      <c r="A20" s="4" t="s">
        <v>4</v>
      </c>
      <c r="B20" s="9">
        <v>513</v>
      </c>
      <c r="C20" s="10">
        <v>1</v>
      </c>
      <c r="F20" s="4" t="s">
        <v>59</v>
      </c>
      <c r="G20" s="16">
        <v>14</v>
      </c>
      <c r="I20" s="4" t="s">
        <v>59</v>
      </c>
      <c r="J20" s="2">
        <v>35.642857142857146</v>
      </c>
      <c r="L20" s="4" t="s">
        <v>59</v>
      </c>
      <c r="M20" s="2">
        <v>5.833333333333333</v>
      </c>
    </row>
    <row r="21" spans="1:13" x14ac:dyDescent="0.3">
      <c r="F21" s="4" t="s">
        <v>60</v>
      </c>
      <c r="G21" s="16">
        <v>17</v>
      </c>
      <c r="I21" s="4" t="s">
        <v>60</v>
      </c>
      <c r="J21" s="2">
        <v>38.764705882352942</v>
      </c>
      <c r="L21" s="4" t="s">
        <v>60</v>
      </c>
      <c r="M21" s="2">
        <v>4.4444444444444446</v>
      </c>
    </row>
    <row r="22" spans="1:13" x14ac:dyDescent="0.3">
      <c r="F22" s="4" t="s">
        <v>61</v>
      </c>
      <c r="G22" s="16">
        <v>20</v>
      </c>
      <c r="I22" s="4" t="s">
        <v>61</v>
      </c>
      <c r="J22" s="2">
        <v>39.9</v>
      </c>
      <c r="L22" s="4" t="s">
        <v>61</v>
      </c>
      <c r="M22" s="2">
        <v>5.333333333333333</v>
      </c>
    </row>
    <row r="23" spans="1:13" x14ac:dyDescent="0.3">
      <c r="F23" s="4" t="s">
        <v>62</v>
      </c>
      <c r="G23" s="16">
        <v>10</v>
      </c>
      <c r="I23" s="4" t="s">
        <v>62</v>
      </c>
      <c r="J23" s="2">
        <v>41.6</v>
      </c>
      <c r="L23" s="4" t="s">
        <v>62</v>
      </c>
      <c r="M23" s="2">
        <v>5.333333333333333</v>
      </c>
    </row>
    <row r="24" spans="1:13" x14ac:dyDescent="0.3">
      <c r="F24" s="4" t="s">
        <v>63</v>
      </c>
      <c r="G24" s="16">
        <v>17</v>
      </c>
      <c r="I24" s="4" t="s">
        <v>63</v>
      </c>
      <c r="J24" s="2">
        <v>39.470588235294116</v>
      </c>
      <c r="L24" s="4" t="s">
        <v>63</v>
      </c>
      <c r="M24" s="2">
        <v>5.5714285714285712</v>
      </c>
    </row>
    <row r="25" spans="1:13" x14ac:dyDescent="0.3">
      <c r="F25" s="4" t="s">
        <v>64</v>
      </c>
      <c r="G25" s="16">
        <v>15</v>
      </c>
      <c r="I25" s="4" t="s">
        <v>64</v>
      </c>
      <c r="J25" s="2">
        <v>27.733333333333334</v>
      </c>
      <c r="L25" s="4" t="s">
        <v>64</v>
      </c>
      <c r="M25" s="2">
        <v>5</v>
      </c>
    </row>
    <row r="26" spans="1:13" x14ac:dyDescent="0.3">
      <c r="F26" s="4" t="s">
        <v>65</v>
      </c>
      <c r="G26" s="16">
        <v>16</v>
      </c>
      <c r="I26" s="4" t="s">
        <v>65</v>
      </c>
      <c r="J26" s="2">
        <v>36.875</v>
      </c>
      <c r="L26" s="4" t="s">
        <v>65</v>
      </c>
      <c r="M26" s="2">
        <v>6.4</v>
      </c>
    </row>
    <row r="27" spans="1:13" x14ac:dyDescent="0.3">
      <c r="F27" s="4" t="s">
        <v>66</v>
      </c>
      <c r="G27" s="16">
        <v>18</v>
      </c>
      <c r="I27" s="4" t="s">
        <v>66</v>
      </c>
      <c r="J27" s="2">
        <v>40.333333333333336</v>
      </c>
      <c r="L27" s="4" t="s">
        <v>66</v>
      </c>
      <c r="M27" s="2">
        <v>5.333333333333333</v>
      </c>
    </row>
    <row r="28" spans="1:13" x14ac:dyDescent="0.3">
      <c r="F28" s="4" t="s">
        <v>67</v>
      </c>
      <c r="G28" s="16">
        <v>16</v>
      </c>
      <c r="I28" s="4" t="s">
        <v>67</v>
      </c>
      <c r="J28" s="2">
        <v>36.5</v>
      </c>
      <c r="L28" s="4" t="s">
        <v>67</v>
      </c>
      <c r="M28" s="2">
        <v>3.75</v>
      </c>
    </row>
    <row r="29" spans="1:13" x14ac:dyDescent="0.3">
      <c r="F29" s="4" t="s">
        <v>68</v>
      </c>
      <c r="G29" s="16">
        <v>15</v>
      </c>
      <c r="I29" s="4" t="s">
        <v>68</v>
      </c>
      <c r="J29" s="2">
        <v>32.866666666666667</v>
      </c>
      <c r="L29" s="4" t="s">
        <v>68</v>
      </c>
      <c r="M29" s="2">
        <v>6.333333333333333</v>
      </c>
    </row>
    <row r="30" spans="1:13" x14ac:dyDescent="0.3">
      <c r="F30" s="4" t="s">
        <v>69</v>
      </c>
      <c r="G30" s="16">
        <v>14</v>
      </c>
      <c r="I30" s="4" t="s">
        <v>69</v>
      </c>
      <c r="J30" s="2">
        <v>36.642857142857146</v>
      </c>
      <c r="L30" s="4" t="s">
        <v>69</v>
      </c>
      <c r="M30" s="2">
        <v>10</v>
      </c>
    </row>
    <row r="31" spans="1:13" x14ac:dyDescent="0.3">
      <c r="F31" s="4" t="s">
        <v>70</v>
      </c>
      <c r="G31" s="16">
        <v>16</v>
      </c>
      <c r="I31" s="4" t="s">
        <v>70</v>
      </c>
      <c r="J31" s="2">
        <v>36.5625</v>
      </c>
      <c r="L31" s="4" t="s">
        <v>70</v>
      </c>
      <c r="M31" s="2">
        <v>5</v>
      </c>
    </row>
    <row r="32" spans="1:13" x14ac:dyDescent="0.3">
      <c r="F32" s="4" t="s">
        <v>71</v>
      </c>
      <c r="G32" s="16">
        <v>20</v>
      </c>
      <c r="I32" s="4" t="s">
        <v>71</v>
      </c>
      <c r="J32" s="2">
        <v>32.15</v>
      </c>
      <c r="L32" s="4" t="s">
        <v>71</v>
      </c>
      <c r="M32" s="2">
        <v>5.333333333333333</v>
      </c>
    </row>
    <row r="33" spans="1:13" x14ac:dyDescent="0.3">
      <c r="F33" s="4" t="s">
        <v>72</v>
      </c>
      <c r="G33" s="16">
        <v>19</v>
      </c>
      <c r="I33" s="4" t="s">
        <v>72</v>
      </c>
      <c r="J33" s="2">
        <v>38.368421052631582</v>
      </c>
      <c r="L33" s="4" t="s">
        <v>72</v>
      </c>
      <c r="M33" s="2">
        <v>4.8</v>
      </c>
    </row>
    <row r="34" spans="1:13" x14ac:dyDescent="0.3">
      <c r="F34" s="4" t="s">
        <v>73</v>
      </c>
      <c r="G34" s="16">
        <v>14</v>
      </c>
      <c r="I34" s="4" t="s">
        <v>73</v>
      </c>
      <c r="J34" s="2">
        <v>33.071428571428569</v>
      </c>
      <c r="L34" s="4" t="s">
        <v>73</v>
      </c>
      <c r="M34" s="2">
        <v>5</v>
      </c>
    </row>
    <row r="35" spans="1:13" x14ac:dyDescent="0.3">
      <c r="F35" s="4" t="s">
        <v>74</v>
      </c>
      <c r="G35" s="16">
        <v>18</v>
      </c>
      <c r="I35" s="4" t="s">
        <v>74</v>
      </c>
      <c r="J35" s="2">
        <v>36.444444444444443</v>
      </c>
      <c r="L35" s="4" t="s">
        <v>74</v>
      </c>
      <c r="M35" s="2">
        <v>1.4</v>
      </c>
    </row>
    <row r="36" spans="1:13" x14ac:dyDescent="0.3">
      <c r="F36" s="4" t="s">
        <v>4</v>
      </c>
      <c r="G36" s="16">
        <v>513</v>
      </c>
      <c r="I36" s="4" t="s">
        <v>4</v>
      </c>
      <c r="J36" s="2">
        <v>36.323586744639378</v>
      </c>
      <c r="L36" s="4" t="s">
        <v>4</v>
      </c>
      <c r="M36" s="2">
        <v>4.9591836734693882</v>
      </c>
    </row>
    <row r="41" spans="1:13" x14ac:dyDescent="0.3">
      <c r="A41" s="13" t="s">
        <v>13</v>
      </c>
      <c r="B41" s="13" t="s">
        <v>75</v>
      </c>
      <c r="C41" s="13" t="s">
        <v>14</v>
      </c>
      <c r="D41" s="11"/>
    </row>
    <row r="42" spans="1:13" x14ac:dyDescent="0.3">
      <c r="A42" s="14" t="str">
        <f>A19</f>
        <v>Not Admitted</v>
      </c>
      <c r="B42" s="14">
        <f>B19</f>
        <v>244</v>
      </c>
      <c r="C42" s="15">
        <f>C19</f>
        <v>0.47563352826510719</v>
      </c>
      <c r="D42" s="12"/>
    </row>
    <row r="43" spans="1:13" x14ac:dyDescent="0.3">
      <c r="A43" s="14" t="str">
        <f>A18</f>
        <v>Admitted</v>
      </c>
      <c r="B43" s="14">
        <f>B18</f>
        <v>269</v>
      </c>
      <c r="C43" s="15">
        <f>C18</f>
        <v>0.52436647173489281</v>
      </c>
      <c r="D43" s="12"/>
    </row>
    <row r="46" spans="1:13" x14ac:dyDescent="0.3">
      <c r="A46" t="s">
        <v>24</v>
      </c>
      <c r="D46" t="s">
        <v>28</v>
      </c>
      <c r="G46" t="s">
        <v>42</v>
      </c>
    </row>
    <row r="47" spans="1:13" x14ac:dyDescent="0.3">
      <c r="A47" s="1" t="s">
        <v>3</v>
      </c>
      <c r="B47" t="s">
        <v>15</v>
      </c>
      <c r="D47" s="1" t="s">
        <v>3</v>
      </c>
      <c r="E47" t="s">
        <v>27</v>
      </c>
      <c r="G47" s="1" t="s">
        <v>3</v>
      </c>
      <c r="H47" t="s">
        <v>41</v>
      </c>
    </row>
    <row r="48" spans="1:13" x14ac:dyDescent="0.3">
      <c r="A48" s="4" t="s">
        <v>16</v>
      </c>
      <c r="B48" s="9">
        <v>76</v>
      </c>
      <c r="D48" s="4" t="s">
        <v>26</v>
      </c>
      <c r="E48" s="9">
        <v>316</v>
      </c>
      <c r="G48" s="4" t="s">
        <v>34</v>
      </c>
      <c r="H48" s="9">
        <v>4</v>
      </c>
    </row>
    <row r="49" spans="1:8" x14ac:dyDescent="0.3">
      <c r="A49" s="4" t="s">
        <v>17</v>
      </c>
      <c r="B49" s="9">
        <v>69</v>
      </c>
      <c r="D49" s="4" t="s">
        <v>25</v>
      </c>
      <c r="E49" s="9">
        <v>197</v>
      </c>
      <c r="G49" s="4" t="s">
        <v>40</v>
      </c>
      <c r="H49" s="9">
        <v>5</v>
      </c>
    </row>
    <row r="50" spans="1:8" x14ac:dyDescent="0.3">
      <c r="A50" s="4" t="s">
        <v>18</v>
      </c>
      <c r="B50" s="9">
        <v>64</v>
      </c>
      <c r="D50" s="4" t="s">
        <v>4</v>
      </c>
      <c r="E50" s="9">
        <v>513</v>
      </c>
      <c r="G50" s="4" t="s">
        <v>36</v>
      </c>
      <c r="H50" s="9">
        <v>9</v>
      </c>
    </row>
    <row r="51" spans="1:8" x14ac:dyDescent="0.3">
      <c r="A51" s="4" t="s">
        <v>19</v>
      </c>
      <c r="B51" s="9">
        <v>59</v>
      </c>
      <c r="G51" s="4" t="s">
        <v>39</v>
      </c>
      <c r="H51" s="9">
        <v>14</v>
      </c>
    </row>
    <row r="52" spans="1:8" x14ac:dyDescent="0.3">
      <c r="A52" s="4" t="s">
        <v>20</v>
      </c>
      <c r="B52" s="9">
        <v>58</v>
      </c>
      <c r="G52" s="4" t="s">
        <v>33</v>
      </c>
      <c r="H52" s="9">
        <v>14</v>
      </c>
    </row>
    <row r="53" spans="1:8" x14ac:dyDescent="0.3">
      <c r="A53" s="4" t="s">
        <v>21</v>
      </c>
      <c r="B53" s="9">
        <v>66</v>
      </c>
      <c r="D53" s="4" t="s">
        <v>32</v>
      </c>
      <c r="G53" s="4" t="s">
        <v>38</v>
      </c>
      <c r="H53" s="9">
        <v>65</v>
      </c>
    </row>
    <row r="54" spans="1:8" x14ac:dyDescent="0.3">
      <c r="A54" s="4" t="s">
        <v>22</v>
      </c>
      <c r="B54" s="9">
        <v>67</v>
      </c>
      <c r="D54" s="1" t="s">
        <v>3</v>
      </c>
      <c r="E54" t="s">
        <v>31</v>
      </c>
      <c r="G54" s="4" t="s">
        <v>35</v>
      </c>
      <c r="H54" s="9">
        <v>103</v>
      </c>
    </row>
    <row r="55" spans="1:8" x14ac:dyDescent="0.3">
      <c r="A55" s="4" t="s">
        <v>23</v>
      </c>
      <c r="B55" s="9">
        <v>54</v>
      </c>
      <c r="D55" s="4" t="s">
        <v>29</v>
      </c>
      <c r="E55" s="9">
        <v>241</v>
      </c>
      <c r="G55" s="4" t="s">
        <v>37</v>
      </c>
      <c r="H55" s="9">
        <v>299</v>
      </c>
    </row>
    <row r="56" spans="1:8" x14ac:dyDescent="0.3">
      <c r="A56" s="4" t="s">
        <v>4</v>
      </c>
      <c r="B56" s="9">
        <v>513</v>
      </c>
      <c r="D56" s="4" t="s">
        <v>30</v>
      </c>
      <c r="E56" s="9">
        <v>272</v>
      </c>
      <c r="G56" s="4" t="s">
        <v>4</v>
      </c>
      <c r="H56" s="9">
        <v>513</v>
      </c>
    </row>
    <row r="57" spans="1:8" x14ac:dyDescent="0.3">
      <c r="D57" s="4" t="s">
        <v>4</v>
      </c>
      <c r="E57" s="9">
        <v>513</v>
      </c>
    </row>
    <row r="61" spans="1:8" x14ac:dyDescent="0.3">
      <c r="A61" s="1" t="s">
        <v>3</v>
      </c>
    </row>
    <row r="62" spans="1:8" x14ac:dyDescent="0.3">
      <c r="A62" s="4" t="s">
        <v>43</v>
      </c>
    </row>
    <row r="63" spans="1:8" x14ac:dyDescent="0.3">
      <c r="A63" s="4"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4AD7-9762-4694-8AB0-D7389B0FAB20}">
  <dimension ref="A1:M29"/>
  <sheetViews>
    <sheetView tabSelected="1" zoomScale="160" zoomScaleNormal="160" workbookViewId="0">
      <selection activeCell="H16" sqref="H16"/>
    </sheetView>
  </sheetViews>
  <sheetFormatPr defaultRowHeight="18.75"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c r="B17" s="3"/>
      <c r="C17" s="3"/>
      <c r="D17" s="3"/>
      <c r="E17" s="3"/>
      <c r="F17" s="3"/>
      <c r="G17" s="3"/>
      <c r="H17" s="3"/>
      <c r="I17" s="3"/>
      <c r="J17" s="3"/>
      <c r="K17" s="3"/>
      <c r="L17" s="3"/>
      <c r="M17" s="3"/>
    </row>
    <row r="18" spans="1:13" x14ac:dyDescent="0.3">
      <c r="A18" s="3"/>
      <c r="B18" s="3"/>
      <c r="C18" s="3"/>
      <c r="D18" s="3"/>
      <c r="E18" s="3"/>
      <c r="F18" s="3"/>
      <c r="G18" s="3"/>
      <c r="H18" s="3"/>
      <c r="I18" s="3"/>
      <c r="J18" s="3"/>
      <c r="K18" s="3"/>
      <c r="L18" s="3"/>
      <c r="M18" s="3"/>
    </row>
    <row r="19" spans="1:13" x14ac:dyDescent="0.3">
      <c r="A19" s="3"/>
      <c r="B19" s="3"/>
      <c r="C19" s="3"/>
      <c r="D19" s="3"/>
      <c r="E19" s="3"/>
      <c r="F19" s="3"/>
      <c r="G19" s="3"/>
      <c r="H19" s="3"/>
      <c r="I19" s="3"/>
      <c r="J19" s="3"/>
      <c r="K19" s="3"/>
      <c r="L19" s="3"/>
      <c r="M19" s="3"/>
    </row>
    <row r="20" spans="1:13" x14ac:dyDescent="0.3">
      <c r="A20" s="3"/>
      <c r="B20" s="3"/>
      <c r="C20" s="3"/>
      <c r="D20" s="3"/>
      <c r="E20" s="3"/>
      <c r="F20" s="3"/>
      <c r="G20" s="3"/>
      <c r="H20" s="3"/>
      <c r="I20" s="3"/>
      <c r="J20" s="3"/>
      <c r="K20" s="3"/>
      <c r="L20" s="3"/>
      <c r="M20" s="3"/>
    </row>
    <row r="21" spans="1:13" x14ac:dyDescent="0.3">
      <c r="A21" s="3"/>
      <c r="B21" s="3"/>
      <c r="C21" s="3"/>
      <c r="D21" s="3"/>
      <c r="E21" s="3"/>
      <c r="F21" s="3"/>
      <c r="G21" s="3"/>
      <c r="H21" s="3"/>
      <c r="I21" s="3"/>
      <c r="J21" s="3"/>
      <c r="K21" s="3"/>
      <c r="L21" s="3"/>
      <c r="M21" s="3"/>
    </row>
    <row r="22" spans="1:13" x14ac:dyDescent="0.3">
      <c r="A22" s="3"/>
      <c r="B22" s="3"/>
      <c r="C22" s="3"/>
      <c r="D22" s="3"/>
      <c r="E22" s="3"/>
      <c r="F22" s="3"/>
      <c r="G22" s="3"/>
      <c r="H22" s="3"/>
      <c r="I22" s="3"/>
      <c r="J22" s="3"/>
      <c r="K22" s="3"/>
      <c r="L22" s="3"/>
      <c r="M22" s="3"/>
    </row>
    <row r="23" spans="1:13" x14ac:dyDescent="0.3">
      <c r="A23" s="3"/>
      <c r="B23" s="3"/>
      <c r="C23" s="3"/>
      <c r="D23" s="3"/>
      <c r="E23" s="3"/>
      <c r="F23" s="3"/>
      <c r="G23" s="3"/>
      <c r="H23" s="3"/>
      <c r="I23" s="3"/>
      <c r="J23" s="3"/>
      <c r="K23" s="3"/>
      <c r="L23" s="3"/>
      <c r="M23" s="3"/>
    </row>
    <row r="24" spans="1:13" x14ac:dyDescent="0.3">
      <c r="A24" s="3"/>
      <c r="B24" s="3"/>
      <c r="C24" s="3"/>
      <c r="D24" s="3"/>
      <c r="E24" s="3"/>
      <c r="F24" s="3"/>
      <c r="G24" s="3"/>
      <c r="H24" s="3"/>
      <c r="I24" s="3"/>
      <c r="J24" s="3"/>
      <c r="K24" s="3"/>
      <c r="L24" s="3"/>
      <c r="M24" s="3"/>
    </row>
    <row r="25" spans="1:13" x14ac:dyDescent="0.3">
      <c r="A25" s="3"/>
      <c r="B25" s="3"/>
      <c r="C25" s="3"/>
      <c r="D25" s="3"/>
      <c r="E25" s="3"/>
      <c r="F25" s="3"/>
      <c r="G25" s="3"/>
      <c r="H25" s="3"/>
      <c r="I25" s="3"/>
      <c r="J25" s="3"/>
      <c r="K25" s="3"/>
      <c r="L25" s="3"/>
      <c r="M25" s="3"/>
    </row>
    <row r="26" spans="1:13" x14ac:dyDescent="0.3">
      <c r="A26" s="3"/>
      <c r="B26" s="3"/>
      <c r="C26" s="3"/>
      <c r="D26" s="3"/>
      <c r="E26" s="3"/>
      <c r="F26" s="3"/>
      <c r="G26" s="3"/>
      <c r="H26" s="3"/>
      <c r="I26" s="3"/>
      <c r="J26" s="3"/>
      <c r="K26" s="3"/>
      <c r="L26" s="3"/>
      <c r="M26" s="3"/>
    </row>
    <row r="27" spans="1:13" x14ac:dyDescent="0.3">
      <c r="A27" s="3"/>
      <c r="B27" s="3"/>
      <c r="C27" s="3"/>
      <c r="D27" s="3"/>
      <c r="E27" s="3"/>
      <c r="F27" s="3"/>
      <c r="G27" s="3"/>
      <c r="H27" s="3"/>
      <c r="I27" s="3"/>
      <c r="J27" s="3"/>
      <c r="K27" s="3"/>
      <c r="L27" s="3"/>
      <c r="M27" s="3"/>
    </row>
    <row r="28" spans="1:13" x14ac:dyDescent="0.3">
      <c r="A28" s="3"/>
      <c r="B28" s="3"/>
      <c r="C28" s="3"/>
      <c r="D28" s="3"/>
      <c r="E28" s="3"/>
      <c r="F28" s="3"/>
      <c r="G28" s="3"/>
      <c r="H28" s="3"/>
      <c r="I28" s="3"/>
      <c r="J28" s="3"/>
      <c r="K28" s="3"/>
      <c r="L28" s="3"/>
      <c r="M28" s="3"/>
    </row>
    <row r="29" spans="1:13" x14ac:dyDescent="0.3">
      <c r="A29" s="3"/>
      <c r="B29" s="3"/>
      <c r="C29" s="3"/>
      <c r="D29" s="3"/>
      <c r="E29" s="3"/>
      <c r="F29" s="3"/>
      <c r="G29" s="3"/>
      <c r="H29" s="3"/>
      <c r="I29" s="3"/>
      <c r="J29" s="3"/>
      <c r="K29" s="3"/>
      <c r="L29" s="3"/>
      <c r="M29"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01C-CC2E-4DD9-8C5B-E04774EF02DB}">
  <dimension ref="A1:K17"/>
  <sheetViews>
    <sheetView workbookViewId="0"/>
  </sheetViews>
  <sheetFormatPr defaultRowHeight="18.75" x14ac:dyDescent="0.3"/>
  <sheetData>
    <row r="1" spans="1:11" x14ac:dyDescent="0.3">
      <c r="A1" s="5"/>
      <c r="B1" s="5"/>
      <c r="C1" s="5"/>
      <c r="D1" s="5"/>
      <c r="E1" s="5"/>
      <c r="F1" s="5"/>
      <c r="G1" s="5"/>
      <c r="H1" s="5"/>
      <c r="I1" s="5"/>
      <c r="J1" s="5"/>
      <c r="K1" s="6"/>
    </row>
    <row r="2" spans="1:11" x14ac:dyDescent="0.3">
      <c r="A2" s="5"/>
      <c r="B2" s="5"/>
      <c r="C2" s="5"/>
      <c r="D2" s="5"/>
      <c r="E2" s="5"/>
      <c r="F2" s="5"/>
      <c r="G2" s="5"/>
      <c r="H2" s="5"/>
      <c r="I2" s="5"/>
      <c r="J2" s="5"/>
      <c r="K2" s="6"/>
    </row>
    <row r="3" spans="1:11" x14ac:dyDescent="0.3">
      <c r="A3" s="5"/>
      <c r="B3" s="5"/>
      <c r="C3" s="5"/>
      <c r="D3" s="5"/>
      <c r="E3" s="5"/>
      <c r="F3" s="5"/>
      <c r="G3" s="5"/>
      <c r="H3" s="5"/>
      <c r="I3" s="5"/>
      <c r="J3" s="5"/>
      <c r="K3" s="6"/>
    </row>
    <row r="4" spans="1:11" x14ac:dyDescent="0.3">
      <c r="A4" s="5"/>
      <c r="B4" s="5"/>
      <c r="C4" s="5"/>
      <c r="D4" s="5"/>
      <c r="E4" s="5"/>
      <c r="F4" s="5"/>
      <c r="G4" s="5"/>
      <c r="H4" s="5"/>
      <c r="I4" s="5"/>
      <c r="J4" s="5"/>
      <c r="K4" s="6"/>
    </row>
    <row r="5" spans="1:11" x14ac:dyDescent="0.3">
      <c r="A5" s="5"/>
      <c r="B5" s="5"/>
      <c r="C5" s="5"/>
      <c r="D5" s="5"/>
      <c r="E5" s="5"/>
      <c r="F5" s="5"/>
      <c r="G5" s="5"/>
      <c r="H5" s="5"/>
      <c r="I5" s="5"/>
      <c r="J5" s="5"/>
      <c r="K5" s="6"/>
    </row>
    <row r="6" spans="1:11" x14ac:dyDescent="0.3">
      <c r="A6" s="5"/>
      <c r="B6" s="5"/>
      <c r="C6" s="5"/>
      <c r="D6" s="5"/>
      <c r="E6" s="5"/>
      <c r="F6" s="5"/>
      <c r="G6" s="5"/>
      <c r="H6" s="5"/>
      <c r="I6" s="5"/>
      <c r="J6" s="5"/>
      <c r="K6" s="6"/>
    </row>
    <row r="7" spans="1:11" x14ac:dyDescent="0.3">
      <c r="A7" s="5"/>
      <c r="B7" s="5"/>
      <c r="C7" s="5"/>
      <c r="D7" s="5"/>
      <c r="E7" s="5"/>
      <c r="F7" s="5"/>
      <c r="G7" s="5"/>
      <c r="H7" s="5"/>
      <c r="I7" s="5"/>
      <c r="J7" s="5"/>
      <c r="K7" s="6"/>
    </row>
    <row r="8" spans="1:11" x14ac:dyDescent="0.3">
      <c r="A8" s="5"/>
      <c r="B8" s="5"/>
      <c r="C8" s="5"/>
      <c r="D8" s="5"/>
      <c r="E8" s="5"/>
      <c r="F8" s="5"/>
      <c r="G8" s="5"/>
      <c r="H8" s="5"/>
      <c r="I8" s="5"/>
      <c r="J8" s="5"/>
      <c r="K8" s="6"/>
    </row>
    <row r="9" spans="1:11" x14ac:dyDescent="0.3">
      <c r="A9" s="5"/>
      <c r="B9" s="5"/>
      <c r="C9" s="5"/>
      <c r="D9" s="5"/>
      <c r="E9" s="5"/>
      <c r="F9" s="5"/>
      <c r="G9" s="5"/>
      <c r="H9" s="5"/>
      <c r="I9" s="5"/>
      <c r="J9" s="5"/>
      <c r="K9" s="6"/>
    </row>
    <row r="10" spans="1:11" x14ac:dyDescent="0.3">
      <c r="A10" s="5"/>
      <c r="B10" s="5"/>
      <c r="C10" s="5"/>
      <c r="D10" s="5"/>
      <c r="E10" s="5"/>
      <c r="F10" s="5"/>
      <c r="G10" s="5"/>
      <c r="H10" s="5"/>
      <c r="I10" s="5"/>
      <c r="J10" s="5"/>
      <c r="K10" s="6"/>
    </row>
    <row r="11" spans="1:11" x14ac:dyDescent="0.3">
      <c r="A11" s="5"/>
      <c r="B11" s="5"/>
      <c r="C11" s="5"/>
      <c r="D11" s="5"/>
      <c r="E11" s="5"/>
      <c r="F11" s="5"/>
      <c r="G11" s="5"/>
      <c r="H11" s="5"/>
      <c r="I11" s="5"/>
      <c r="J11" s="5"/>
      <c r="K11" s="6"/>
    </row>
    <row r="12" spans="1:11" x14ac:dyDescent="0.3">
      <c r="A12" s="5"/>
      <c r="B12" s="5"/>
      <c r="C12" s="5"/>
      <c r="D12" s="5"/>
      <c r="E12" s="5"/>
      <c r="F12" s="5"/>
      <c r="G12" s="5"/>
      <c r="H12" s="5"/>
      <c r="I12" s="5"/>
      <c r="J12" s="5"/>
      <c r="K12" s="6"/>
    </row>
    <row r="13" spans="1:11" x14ac:dyDescent="0.3">
      <c r="A13" s="5"/>
      <c r="B13" s="5"/>
      <c r="C13" s="5"/>
      <c r="D13" s="5"/>
      <c r="E13" s="5"/>
      <c r="F13" s="5"/>
      <c r="G13" s="5"/>
      <c r="H13" s="5"/>
      <c r="I13" s="5"/>
      <c r="J13" s="5"/>
      <c r="K13" s="6"/>
    </row>
    <row r="14" spans="1:11" x14ac:dyDescent="0.3">
      <c r="A14" s="5"/>
      <c r="B14" s="5"/>
      <c r="C14" s="5"/>
      <c r="D14" s="5"/>
      <c r="E14" s="5"/>
      <c r="F14" s="5"/>
      <c r="G14" s="5"/>
      <c r="H14" s="5"/>
      <c r="I14" s="5"/>
      <c r="J14" s="5"/>
      <c r="K14" s="6"/>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8"/>
      <c r="B17" s="8"/>
      <c r="C17" s="8"/>
      <c r="D17" s="8"/>
      <c r="E17" s="8"/>
      <c r="F17" s="8"/>
      <c r="G17" s="8"/>
      <c r="H17" s="8"/>
      <c r="I17" s="8"/>
      <c r="J17" s="8"/>
      <c r="K17"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6834D-E302-4F31-A0A3-28E5911E6452}">
  <dimension ref="A1"/>
  <sheetViews>
    <sheetView workbookViewId="0"/>
  </sheetViews>
  <sheetFormatPr defaultRowHeight="18.75"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744D4-27B9-400D-95DC-46BC1CABB7F5}">
  <dimension ref="A1"/>
  <sheetViews>
    <sheetView workbookViewId="0"/>
  </sheetViews>
  <sheetFormatPr defaultRowHeight="18.75"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4F058D8-99DA-4B9C-8546-D1BEDFBC7806}">
  <ds:schemaRefs/>
</ds:datastoreItem>
</file>

<file path=customXml/itemProps2.xml><?xml version="1.0" encoding="utf-8"?>
<ds:datastoreItem xmlns:ds="http://schemas.openxmlformats.org/officeDocument/2006/customXml" ds:itemID="{CE4CB28F-0184-4371-9FC4-DFFDF8755E9F}">
  <ds:schemaRefs/>
</ds:datastoreItem>
</file>

<file path=customXml/itemProps3.xml><?xml version="1.0" encoding="utf-8"?>
<ds:datastoreItem xmlns:ds="http://schemas.openxmlformats.org/officeDocument/2006/customXml" ds:itemID="{935F5643-04BD-4B96-B2C0-8A87B13BD43E}">
  <ds:schemaRefs/>
</ds:datastoreItem>
</file>

<file path=customXml/itemProps4.xml><?xml version="1.0" encoding="utf-8"?>
<ds:datastoreItem xmlns:ds="http://schemas.openxmlformats.org/officeDocument/2006/customXml" ds:itemID="{06586045-6D5B-4C48-A6BB-366B6ADA30A5}">
  <ds:schemaRefs/>
</ds:datastoreItem>
</file>

<file path=customXml/itemProps5.xml><?xml version="1.0" encoding="utf-8"?>
<ds:datastoreItem xmlns:ds="http://schemas.openxmlformats.org/officeDocument/2006/customXml" ds:itemID="{E0EB03E7-9AC6-4DB2-85E0-F9900E79F8E3}">
  <ds:schemaRefs/>
</ds:datastoreItem>
</file>

<file path=customXml/itemProps6.xml><?xml version="1.0" encoding="utf-8"?>
<ds:datastoreItem xmlns:ds="http://schemas.openxmlformats.org/officeDocument/2006/customXml" ds:itemID="{003C7919-4E6E-4D73-B3B8-7A4B2D1157D4}">
  <ds:schemaRefs/>
</ds:datastoreItem>
</file>

<file path=customXml/itemProps7.xml><?xml version="1.0" encoding="utf-8"?>
<ds:datastoreItem xmlns:ds="http://schemas.openxmlformats.org/officeDocument/2006/customXml" ds:itemID="{BBD01F74-F3C2-4239-B059-16EA538AEB5A}">
  <ds:schemaRefs/>
</ds:datastoreItem>
</file>

<file path=customXml/itemProps8.xml><?xml version="1.0" encoding="utf-8"?>
<ds:datastoreItem xmlns:ds="http://schemas.openxmlformats.org/officeDocument/2006/customXml" ds:itemID="{893D727F-5451-49D7-B5F1-224E7E7924F2}">
  <ds:schemaRefs/>
</ds:datastoreItem>
</file>

<file path=customXml/itemProps9.xml><?xml version="1.0" encoding="utf-8"?>
<ds:datastoreItem xmlns:ds="http://schemas.openxmlformats.org/officeDocument/2006/customXml" ds:itemID="{364CA01D-690F-449C-8D98-911FEAE1745F}">
  <ds:schemaRefs/>
</ds:datastoreItem>
</file>

<file path=customXml/itemProps10.xml><?xml version="1.0" encoding="utf-8"?>
<ds:datastoreItem xmlns:ds="http://schemas.openxmlformats.org/officeDocument/2006/customXml" ds:itemID="{25CAEE09-B45C-4296-A367-4A3385AAA5B0}">
  <ds:schemaRefs/>
</ds:datastoreItem>
</file>

<file path=customXml/itemProps11.xml><?xml version="1.0" encoding="utf-8"?>
<ds:datastoreItem xmlns:ds="http://schemas.openxmlformats.org/officeDocument/2006/customXml" ds:itemID="{994F0C0B-A26A-4968-8FAC-C96E9F5CF753}">
  <ds:schemaRefs/>
</ds:datastoreItem>
</file>

<file path=customXml/itemProps12.xml><?xml version="1.0" encoding="utf-8"?>
<ds:datastoreItem xmlns:ds="http://schemas.openxmlformats.org/officeDocument/2006/customXml" ds:itemID="{C278D3C5-10F0-46F4-B47D-7C5EBE6ECB79}">
  <ds:schemaRefs/>
</ds:datastoreItem>
</file>

<file path=customXml/itemProps13.xml><?xml version="1.0" encoding="utf-8"?>
<ds:datastoreItem xmlns:ds="http://schemas.openxmlformats.org/officeDocument/2006/customXml" ds:itemID="{84F26909-8463-4DB9-AE05-B1D9441F51F1}">
  <ds:schemaRefs/>
</ds:datastoreItem>
</file>

<file path=customXml/itemProps14.xml><?xml version="1.0" encoding="utf-8"?>
<ds:datastoreItem xmlns:ds="http://schemas.openxmlformats.org/officeDocument/2006/customXml" ds:itemID="{E6E9C527-4E5E-4AB9-95D1-F4577CB7270C}">
  <ds:schemaRefs/>
</ds:datastoreItem>
</file>

<file path=customXml/itemProps15.xml><?xml version="1.0" encoding="utf-8"?>
<ds:datastoreItem xmlns:ds="http://schemas.openxmlformats.org/officeDocument/2006/customXml" ds:itemID="{A87DA545-B4E4-461C-9237-97CC4F79000E}">
  <ds:schemaRefs/>
</ds:datastoreItem>
</file>

<file path=customXml/itemProps16.xml><?xml version="1.0" encoding="utf-8"?>
<ds:datastoreItem xmlns:ds="http://schemas.openxmlformats.org/officeDocument/2006/customXml" ds:itemID="{1D12B9C3-E98B-4177-AB4D-8E6F8A81E0F9}">
  <ds:schemaRefs>
    <ds:schemaRef ds:uri="http://schemas.microsoft.com/DataMashup"/>
  </ds:schemaRefs>
</ds:datastoreItem>
</file>

<file path=customXml/itemProps17.xml><?xml version="1.0" encoding="utf-8"?>
<ds:datastoreItem xmlns:ds="http://schemas.openxmlformats.org/officeDocument/2006/customXml" ds:itemID="{E6E55A79-1E8C-4F99-B64B-F0284B4F0B43}">
  <ds:schemaRefs/>
</ds:datastoreItem>
</file>

<file path=customXml/itemProps18.xml><?xml version="1.0" encoding="utf-8"?>
<ds:datastoreItem xmlns:ds="http://schemas.openxmlformats.org/officeDocument/2006/customXml" ds:itemID="{1C890947-D2DA-4544-A9E2-8C0FCF357B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Number Of Patients</vt:lpstr>
      <vt:lpstr>Average Wait Time Daily Trends</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Sharma</dc:creator>
  <cp:lastModifiedBy>Pavan Sharma</cp:lastModifiedBy>
  <dcterms:created xsi:type="dcterms:W3CDTF">2026-10-21T09:09:09Z</dcterms:created>
  <dcterms:modified xsi:type="dcterms:W3CDTF">2026-10-21T17:57:18Z</dcterms:modified>
</cp:coreProperties>
</file>